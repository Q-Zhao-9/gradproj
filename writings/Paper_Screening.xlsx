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50183\Downloads\"/>
    </mc:Choice>
  </mc:AlternateContent>
  <xr:revisionPtr revIDLastSave="0" documentId="13_ncr:1_{89E5CA62-30A0-48DD-922F-72DB3A1FDA90}" xr6:coauthVersionLast="47" xr6:coauthVersionMax="47" xr10:uidLastSave="{00000000-0000-0000-0000-000000000000}"/>
  <bookViews>
    <workbookView xWindow="-108" yWindow="-108" windowWidth="23256" windowHeight="12456" tabRatio="213" activeTab="1" xr2:uid="{00000000-000D-0000-FFFF-FFFF00000000}"/>
  </bookViews>
  <sheets>
    <sheet name="Sheet1" sheetId="1" r:id="rId1"/>
    <sheet name="Sheet2" sheetId="2" r:id="rId2"/>
  </sheets>
  <definedNames>
    <definedName name="_xlnm._FilterDatabase" localSheetId="0" hidden="1">Sheet1!$A$1:$S$99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8" i="1" l="1"/>
  <c r="Q89" i="1"/>
  <c r="Q91" i="1"/>
  <c r="Q44" i="1"/>
  <c r="Q41" i="1"/>
  <c r="Q46" i="1"/>
  <c r="Q94" i="1"/>
  <c r="Q95" i="1"/>
  <c r="Q96" i="1"/>
  <c r="Q97" i="1"/>
  <c r="Q98" i="1"/>
  <c r="Q99" i="1"/>
  <c r="Q27" i="1"/>
  <c r="Q31" i="1"/>
  <c r="Q29" i="1"/>
  <c r="Q28" i="1"/>
  <c r="Q32" i="1"/>
  <c r="Q24" i="1"/>
  <c r="Q26" i="1"/>
  <c r="Q23" i="1"/>
  <c r="Q30" i="1"/>
  <c r="Q25" i="1"/>
  <c r="Q47" i="1"/>
  <c r="Q74" i="1"/>
  <c r="Q34" i="1"/>
  <c r="Q42" i="1"/>
  <c r="Q39" i="1"/>
  <c r="Q43" i="1"/>
  <c r="Q40" i="1"/>
  <c r="Q36" i="1"/>
  <c r="Q64" i="1"/>
  <c r="Q58" i="1"/>
  <c r="Q65" i="1"/>
  <c r="Q59" i="1"/>
  <c r="Q66" i="1"/>
  <c r="Q67" i="1"/>
  <c r="Q37" i="1"/>
  <c r="Q48" i="1"/>
  <c r="Q35" i="1"/>
  <c r="Q53" i="1"/>
  <c r="Q75" i="1"/>
  <c r="Q68" i="1"/>
  <c r="Q76" i="1"/>
  <c r="Q69" i="1"/>
  <c r="Q49" i="1"/>
  <c r="Q50" i="1"/>
  <c r="Q54" i="1"/>
  <c r="Q60" i="1"/>
  <c r="Q93" i="1"/>
  <c r="Q55" i="1"/>
  <c r="Q56" i="1"/>
  <c r="Q70" i="1"/>
  <c r="Q61" i="1"/>
  <c r="Q51" i="1"/>
  <c r="Q45" i="1"/>
  <c r="Q77" i="1"/>
  <c r="Q92" i="1"/>
  <c r="Q62" i="1"/>
  <c r="Q52" i="1"/>
  <c r="Q80" i="1"/>
  <c r="Q90" i="1"/>
  <c r="Q71" i="1"/>
  <c r="Q78" i="1"/>
  <c r="Q72" i="1"/>
  <c r="Q73" i="1"/>
  <c r="Q63" i="1"/>
  <c r="Q38" i="1"/>
  <c r="Q79" i="1"/>
  <c r="Q57" i="1"/>
  <c r="Q81" i="1"/>
  <c r="Q82" i="1"/>
  <c r="Q83" i="1"/>
  <c r="Q84" i="1"/>
  <c r="Q85" i="1"/>
  <c r="Q86" i="1"/>
  <c r="Q87" i="1"/>
  <c r="Q33" i="1"/>
  <c r="Q8" i="1"/>
  <c r="Q4" i="1"/>
  <c r="Q9" i="1"/>
  <c r="Q17" i="1"/>
  <c r="Q11" i="1"/>
  <c r="Q6" i="1"/>
  <c r="Q5" i="1"/>
  <c r="Q18" i="1"/>
  <c r="Q3" i="1"/>
  <c r="Q7" i="1"/>
  <c r="Q2" i="1"/>
  <c r="Q19" i="1"/>
  <c r="Q20" i="1"/>
  <c r="Q10" i="1"/>
  <c r="Q12" i="1"/>
  <c r="Q21" i="1"/>
  <c r="Q13" i="1"/>
  <c r="Q14" i="1"/>
  <c r="Q22" i="1"/>
  <c r="Q16" i="1"/>
  <c r="Q15" i="1"/>
</calcChain>
</file>

<file path=xl/sharedStrings.xml><?xml version="1.0" encoding="utf-8"?>
<sst xmlns="http://schemas.openxmlformats.org/spreadsheetml/2006/main" count="774" uniqueCount="421">
  <si>
    <t>Title</t>
  </si>
  <si>
    <t>Year</t>
  </si>
  <si>
    <t>Source (Journal/Conf)</t>
  </si>
  <si>
    <t>Type</t>
  </si>
  <si>
    <t>Domain</t>
  </si>
  <si>
    <t>Task</t>
  </si>
  <si>
    <t>Model / Method</t>
  </si>
  <si>
    <t>Dataset</t>
  </si>
  <si>
    <t>Relevance (1–5)</t>
  </si>
  <si>
    <t>Technical Contribution (1–5)</t>
  </si>
  <si>
    <t>Quality (1–5)</t>
  </si>
  <si>
    <t>Recency (1–5)</t>
  </si>
  <si>
    <t>Domain Fit (1–5)</t>
  </si>
  <si>
    <t>Total Score</t>
  </si>
  <si>
    <t>Decision</t>
  </si>
  <si>
    <t>Notes / Justification</t>
  </si>
  <si>
    <t>Allaouzi, Imane, Mohamed Ben Ahmed, and Badr Benamrou. An Encoder-Decoder Model for Visual Question Answering in the Medical Domain. September 1, 2019.</t>
  </si>
  <si>
    <t>Medical</t>
    <phoneticPr fontId="2" type="noConversion"/>
  </si>
  <si>
    <t>VQA</t>
    <phoneticPr fontId="2" type="noConversion"/>
  </si>
  <si>
    <t>Conf</t>
    <phoneticPr fontId="2" type="noConversion"/>
  </si>
  <si>
    <t>encoder-decoder</t>
    <phoneticPr fontId="2" type="noConversion"/>
  </si>
  <si>
    <t>VQA-Med</t>
    <phoneticPr fontId="2" type="noConversion"/>
  </si>
  <si>
    <t>Res</t>
    <phoneticPr fontId="2" type="noConversion"/>
  </si>
  <si>
    <t>30 Cited</t>
    <phoneticPr fontId="2" type="noConversion"/>
  </si>
  <si>
    <t>Bao-Nguyen Quoc, Huy-Ho Huu. “A Unified Multi-Dataset Framework for Medical Visual Question Answering via Pretrained Transformers and Contrastive Learning.” CS &amp; IT Conference Proceedings 15, no. 7 (2025). http://csitcp.com/abstract/15/157csit04.</t>
    <phoneticPr fontId="2" type="noConversion"/>
  </si>
  <si>
    <t>Med-VQA</t>
    <phoneticPr fontId="2" type="noConversion"/>
  </si>
  <si>
    <t>0 Cited, a framework to integrate multiple models,include a MoE module</t>
    <phoneticPr fontId="2" type="noConversion"/>
  </si>
  <si>
    <t>PathVQA, VQA-RAD</t>
    <phoneticPr fontId="2" type="noConversion"/>
  </si>
  <si>
    <t>Chen, Chongqing, Dezhi Han, and Xiang Shen. “CLVIN: Complete Language-Vision Interaction Network for Visual Question Answering.” Knowledge-Based Systems 275 (September 2023): 110706. https://doi.org/10.1016/j.knosys.2023.110706.</t>
    <phoneticPr fontId="2" type="noConversion"/>
  </si>
  <si>
    <t>Jou</t>
    <phoneticPr fontId="2" type="noConversion"/>
  </si>
  <si>
    <t>General</t>
    <phoneticPr fontId="2" type="noConversion"/>
  </si>
  <si>
    <t>CLVIN</t>
    <phoneticPr fontId="2" type="noConversion"/>
  </si>
  <si>
    <t>103 Cited</t>
    <phoneticPr fontId="2" type="noConversion"/>
  </si>
  <si>
    <t>VQA-V2.0,CLEVR</t>
    <phoneticPr fontId="2" type="noConversion"/>
  </si>
  <si>
    <t>Eslami, Sedigheh, Christoph Meinel, and Gerard De Melo. “Pubmedclip: How Much Does Clip Benefit Visual Question Answering in the Medical Domain?” Findings of the Association for Computational Linguistics: EACL 2023, 2023, 1181–93. https://aclanthology.org/2023.findings-eacl.88/.</t>
    <phoneticPr fontId="2" type="noConversion"/>
  </si>
  <si>
    <t>219 Cited</t>
    <phoneticPr fontId="2" type="noConversion"/>
  </si>
  <si>
    <t>Cited</t>
    <phoneticPr fontId="2" type="noConversion"/>
  </si>
  <si>
    <t>PubMedCLIP</t>
    <phoneticPr fontId="2" type="noConversion"/>
  </si>
  <si>
    <t>VQA-RAD, SLAKE</t>
    <phoneticPr fontId="2" type="noConversion"/>
  </si>
  <si>
    <t>Ha, Cuong Nhat, Shima Asaadi, Sanjeev Kumar Karn, Oladimeji Farri, Tobias Heimann, and Thomas Runkler. “Fusion of Domain-Adapted Vision and Language Models for Medical Visual Question Answering.” arXiv:2404.16192. Preprint, arXiv, April 24, 2024. https://doi.org/10.48550/arXiv.2404.16192.</t>
    <phoneticPr fontId="2" type="noConversion"/>
  </si>
  <si>
    <t>arXiv</t>
    <phoneticPr fontId="2" type="noConversion"/>
  </si>
  <si>
    <t>fusing a radiology domain-specific decoder-only LLM with a bio-medical vision model within a VLM framework</t>
    <phoneticPr fontId="2" type="noConversion"/>
  </si>
  <si>
    <t>PMC-OA, PMC-VQA, VQA-RAD, SLAKE 1.0-English</t>
    <phoneticPr fontId="2" type="noConversion"/>
  </si>
  <si>
    <t>Kumar, Arvind, and Anupam Agrawal. “Towards Precision Healthcare: Leveraging Pre-Trained Models and Attention Mechanisms in Medical Visual Question Answering for Clinical Decision Support.” 2024 Second International Conference on Networks, Multimedia and Information Technology (NMITCON), August 2024, 1–6. https://doi.org/10.1109/NMITCON62075.2024.10699307.</t>
    <phoneticPr fontId="2" type="noConversion"/>
  </si>
  <si>
    <t>BLIP-based model</t>
    <phoneticPr fontId="2" type="noConversion"/>
  </si>
  <si>
    <t>PathVQA</t>
    <phoneticPr fontId="2" type="noConversion"/>
  </si>
  <si>
    <t>Lameesa, Aiman, Chaklam Silpasuwanchai, and Md. Sakib Bin Alam. “VG-CALF: A Vision-Guided Cross-Attention and Late-Fusion Network for Radiology Images in Medical Visual Question Answering.” Neurocomputing 613 (January 2025): 128730. https://doi.org/10.1016/j.neucom.2024.128730.</t>
    <phoneticPr fontId="2" type="noConversion"/>
  </si>
  <si>
    <t>VG-CALF</t>
    <phoneticPr fontId="2" type="noConversion"/>
  </si>
  <si>
    <t>This architecture incorporates a vision-guided crossattention module,</t>
    <phoneticPr fontId="2" type="noConversion"/>
  </si>
  <si>
    <t>Li, Chunyuan, Cliff Wong, Sheng Zhang, et al. “LLaVA-Med: Training a Large Language-and-Vision Assistant for Biomedicine in One Day.” Advances in Neural Information Processing Systems 36 (December 2023): 28541–64.</t>
    <phoneticPr fontId="2" type="noConversion"/>
  </si>
  <si>
    <t>Conversational Assistant</t>
    <phoneticPr fontId="2" type="noConversion"/>
  </si>
  <si>
    <t>LLaVA-Med</t>
    <phoneticPr fontId="2" type="noConversion"/>
  </si>
  <si>
    <t>PMC-15M, use GPT-4 to generate data</t>
    <phoneticPr fontId="2" type="noConversion"/>
  </si>
  <si>
    <t>a novel curriculum learning method for adapting LLaVA  to the biomedical domain using our self-generated biomedical multi-modal instruction-following dataset.</t>
    <phoneticPr fontId="2" type="noConversion"/>
  </si>
  <si>
    <t>Li, Pengfei, Gang Liu, Lin Tan, Jinying Liao, and Shenjun Zhong. “Self-Supervised Vision-Language Pretraining for Medial Visual Question Answering.” 2023 IEEE 20th International Symposium on Biomedical Imaging (ISBI), April 2023, 1–5. https://doi.org/10.1109/ISBI53787.2023.10230743.</t>
    <phoneticPr fontId="2" type="noConversion"/>
  </si>
  <si>
    <t>IEEE</t>
    <phoneticPr fontId="2" type="noConversion"/>
  </si>
  <si>
    <t>REs</t>
    <phoneticPr fontId="2" type="noConversion"/>
  </si>
  <si>
    <t>M2I2</t>
    <phoneticPr fontId="2" type="noConversion"/>
  </si>
  <si>
    <t>VQA-RAD 
PathVQA
SLAKE</t>
    <phoneticPr fontId="2" type="noConversion"/>
  </si>
  <si>
    <t>Liu, Haotian, Chunyuan Li, Yuheng Li, and Yong Jae Lee. “Improved Baselines with Visual Instruction Tuning.” 2024, 26296–306. https://openaccess.thecvf.com/content/CVPR2024/html/Liu_Improved_Baselines_with_Visual_Instruction_Tuning_CVPR_2024_paper.html.</t>
    <phoneticPr fontId="2" type="noConversion"/>
  </si>
  <si>
    <t>Instruction Tuning</t>
    <phoneticPr fontId="2" type="noConversion"/>
  </si>
  <si>
    <t>Tuning LLaVA</t>
    <phoneticPr fontId="2" type="noConversion"/>
  </si>
  <si>
    <t>VQA
OCR</t>
    <phoneticPr fontId="2" type="noConversion"/>
  </si>
  <si>
    <t>Moor, Michael, Qian Huang, Shirley Wu, et al. “Med-Flamingo: A Multimodal Medical Few-Shot Learner.” Proceedings of the 3rd Machine Learning for Health Symposium, PMLR, December 4, 2023, 353–67. https://proceedings.mlr.press/v225/moor23a.html.</t>
    <phoneticPr fontId="2" type="noConversion"/>
  </si>
  <si>
    <t>MTB (Constructed)
PMC-OA</t>
    <phoneticPr fontId="2" type="noConversion"/>
  </si>
  <si>
    <t>first multimodal few-shot learner adapted to the medical domain</t>
    <phoneticPr fontId="2" type="noConversion"/>
  </si>
  <si>
    <t>Multi-modal learning</t>
    <phoneticPr fontId="2" type="noConversion"/>
  </si>
  <si>
    <t>Ossowski, Timothy, and Junjie Hu. “Retrieving Multimodal Prompts for Generative Visual Question Answering.” In Findings of the Association for Computational Linguistics: ACL 2023, edited by Anna Rogers, Jordan Boyd-Graber, and Naoaki Okazaki. Association for Computational Linguistics, 2023. https://doi.org/10.18653/v1/2023.findings-acl.158.</t>
    <phoneticPr fontId="2" type="noConversion"/>
  </si>
  <si>
    <t>prompt-based generative VQA model(multi-modal prompt retrieval)</t>
    <phoneticPr fontId="2" type="noConversion"/>
  </si>
  <si>
    <t>VQA-RAD
SLAKE</t>
    <phoneticPr fontId="2" type="noConversion"/>
  </si>
  <si>
    <t>Pan, Haiwei, Shuning He, Kejia Zhang, Bo Qu, Chunling Chen, and Kun Shi. “AMAM: An Attention-Based Multimodal Alignment Model for Medical Visual Question Answering.” Knowledge-Based Systems 255 (November 2022): 109763. https://doi.org/10.1016/j.knosys.2022.109763.</t>
    <phoneticPr fontId="2" type="noConversion"/>
  </si>
  <si>
    <t>AMAM</t>
    <phoneticPr fontId="2" type="noConversion"/>
  </si>
  <si>
    <t>PathVQA
VQA-RAD
VQA-RAD(ph)</t>
    <phoneticPr fontId="2" type="noConversion"/>
  </si>
  <si>
    <t>Attention-based Multimodal Alignment Model (AMAM) for medical VQA, the purpose of which is to fuse the high-level semantics of medical images on the basis of the question and align the text-based and image-based attention to locate keywords.</t>
    <phoneticPr fontId="2" type="noConversion"/>
  </si>
  <si>
    <t>Sharma, Dhruv, Sanjay Purushotham, and Chandan K. Reddy. “MedFuseNet: An Attention-Based Multimodal Deep Learning Model for Visual Question Answering in the Medical Domain.” Scientific Reports 11, no. 1 (2021): 19826.</t>
    <phoneticPr fontId="2" type="noConversion"/>
  </si>
  <si>
    <t>MedFuseNet</t>
    <phoneticPr fontId="2" type="noConversion"/>
  </si>
  <si>
    <t>an attention based multimodal deep learning model which learns representations by optimal fusion of the multimodal inputs using attention mechanism.</t>
    <phoneticPr fontId="2" type="noConversion"/>
  </si>
  <si>
    <t>MED-VQA
PathVQA</t>
    <phoneticPr fontId="2" type="noConversion"/>
  </si>
  <si>
    <t>S.M, Keerthana, Santhosh S, and Sethuanand K. “Enhancing Medical Visual Question and Answering System.” 2024 3rd International Conference on Automation, Computing and Renewable Systems (ICACRS), December 2024, 761–65. https://doi.org/10.1109/ICACRS62842.2024.10841527.</t>
    <phoneticPr fontId="2" type="noConversion"/>
  </si>
  <si>
    <t>Integrate other models to enhance the medical VQA system</t>
    <phoneticPr fontId="2" type="noConversion"/>
  </si>
  <si>
    <t>Sun, Guohao, Can Qin, Huazhu Fu, Linwei Wang, and Zhiqiang Tao. “Self-Training Large Language and Vision Assistant for Medical Question Answering.” In Proceedings of the 2024 Conference on Empirical Methods in Natural Language Processing, edited by Yaser Al-Onaizan, Mohit Bansal, and Yun-Nung Chen. Association for Computational Linguistics, 2024. https://doi.org/10.18653/v1/2024.emnlp-main.1119.</t>
    <phoneticPr fontId="2" type="noConversion"/>
  </si>
  <si>
    <t>STLLaVA-Med</t>
    <phoneticPr fontId="2" type="noConversion"/>
  </si>
  <si>
    <t>Med-60k-IM</t>
    <phoneticPr fontId="2" type="noConversion"/>
  </si>
  <si>
    <t>Zhan, Chenlu, Peng Peng, Hongwei Wang, Gaoang Wang, Yu Lin, Tao Chen, and Hongsen Wang. "UnICLAM: Contrastive representation learning with adversarial masking for unified and interpretable Medical Vision Question Answering." Medical Image Analysis 101 (2025): 103464.</t>
    <phoneticPr fontId="2" type="noConversion"/>
  </si>
  <si>
    <t>UnICLAM</t>
    <phoneticPr fontId="2" type="noConversion"/>
  </si>
  <si>
    <t>ROCO (Pretraining)
VQA-RAD
SLAKE</t>
    <phoneticPr fontId="2" type="noConversion"/>
  </si>
  <si>
    <t>Verma, Harendra, and Sindhu Ramachandran. “HARENDRAKV at VQA-Med 2020: Sequential VQA with Attention for Medical Visual Question Answering.” CLEF (Working Notes), 2020. https://www.academia.edu/download/86223949/paper_62.pdf.</t>
    <phoneticPr fontId="2" type="noConversion"/>
  </si>
  <si>
    <t>a deep learning model for ImageCLEF VQA-Med 2020 Task</t>
    <phoneticPr fontId="2" type="noConversion"/>
  </si>
  <si>
    <t>VQA-Med-VQA 2020</t>
    <phoneticPr fontId="2" type="noConversion"/>
  </si>
  <si>
    <t>Xia, Hong, Yifan Zhang, Hui Jia, Yanping Chen, Jing Xu, and Shiyong Li. “A Medical Visual Question-Answering Model Based on Multi-Scale Feature Fusion and Question Feature Enhancement.” Multimedia Systems 31, no. 4 (2025): 271. https://doi.org/10.1007/s00530-025-01848-9.</t>
    <phoneticPr fontId="2" type="noConversion"/>
  </si>
  <si>
    <t>a method based on a multi-scale vision encoder framework and a global–local feature fusion module to model the visual features in the Medical Visual Question Answering (Med-VQA) task.</t>
    <phoneticPr fontId="2" type="noConversion"/>
  </si>
  <si>
    <t>Zhang, Liwen, Minjie Bian, and Huahu Xu. “Medical Visual Question Answering Based on Transformer and Mamba Fusion Architecture.” Proceedings of the 4th International Conference on Biomedical and Intelligent Systems (New York, NY, USA), IC-BIS ’25, Association for Computing Machinery, August 6, 2025, 20–25. https://doi.org/10.1145/3745034.3745038.</t>
    <phoneticPr fontId="2" type="noConversion"/>
  </si>
  <si>
    <t>MM-Tramba</t>
    <phoneticPr fontId="2" type="noConversion"/>
  </si>
  <si>
    <t>Wei, Lai, Wenkai Wang, Xiaoyu Shen, et al. “MC-CoT: A Modular Collaborative CoT Framework for Zero-Shot Medical-VQA with LLM and MLLM Integration.” arXiv:2410.04521. Preprint, arXiv, October 6, 2024. https://doi.org/10.48550/arXiv.2410.04521.</t>
    <phoneticPr fontId="2" type="noConversion"/>
  </si>
  <si>
    <t>MC-CoT</t>
    <phoneticPr fontId="2" type="noConversion"/>
  </si>
  <si>
    <t>VQA-RAD
SLAKE
PathVQA</t>
    <phoneticPr fontId="2" type="noConversion"/>
  </si>
  <si>
    <t>TAG</t>
    <phoneticPr fontId="2" type="noConversion"/>
  </si>
  <si>
    <t>QA</t>
    <phoneticPr fontId="2" type="noConversion"/>
  </si>
  <si>
    <t>TTI</t>
    <phoneticPr fontId="2" type="noConversion"/>
  </si>
  <si>
    <t>Dataset</t>
    <phoneticPr fontId="2" type="noConversion"/>
  </si>
  <si>
    <t>Guo, Mandy, Yinfei Yang, Daniel Cer, Qinlan Shen, and Noah Constant. “MultiReQA: A Cross-Domain Evaluation forRetrieval Question Answering Models.” In Proceedings of the Second Workshop on Domain Adaptation for NLP, edited by Eyal Ben-David, Shay Cohen, Ryan McDonald, et al. Association for Computational Linguistics, 2021. https://aclanthology.org/2021.adaptnlp-1.10/.</t>
    <phoneticPr fontId="2" type="noConversion"/>
  </si>
  <si>
    <t xml:space="preserve">a new evaluation suit for measuring retrieval QA </t>
    <phoneticPr fontId="2" type="noConversion"/>
  </si>
  <si>
    <t>Lee, Jinhyuk, Wonjin Yoon, Sungdong Kim, et al. “BioBERT: A Pre-Trained Biomedical Language Representation Model for Biomedical Text Mining.” Bioinformatics 36, no. 4 (2020): 1234–40. https://doi.org/10.1093/bioinformatics/btz682.</t>
    <phoneticPr fontId="2" type="noConversion"/>
  </si>
  <si>
    <t>Pretraining</t>
    <phoneticPr fontId="2" type="noConversion"/>
  </si>
  <si>
    <t>BioBERT</t>
    <phoneticPr fontId="2" type="noConversion"/>
  </si>
  <si>
    <t>Multiple datasets for different biomedical tasks</t>
    <phoneticPr fontId="2" type="noConversion"/>
  </si>
  <si>
    <t>Li, Mingchen, Halil Kilicoglu, Hua Xu, and Rui Zhang. “BiomedRAG: A Retrieval Augmented Large Language Model for Biomedicine.” Journal of Biomedical Informatics 162 (February 2025): 104769. https://doi.org/10.1016/j.jbi.2024.104769.</t>
    <phoneticPr fontId="2" type="noConversion"/>
  </si>
  <si>
    <t>BUIMEDRAG</t>
    <phoneticPr fontId="2" type="noConversion"/>
  </si>
  <si>
    <t>GIT
CHEMPROT
DDI</t>
    <phoneticPr fontId="2" type="noConversion"/>
  </si>
  <si>
    <t>investigate the effectiveness of integrating chunk knowledge into LLMs in the biomedical domain</t>
    <phoneticPr fontId="2" type="noConversion"/>
  </si>
  <si>
    <t>Not related to QA. Collected because of RAG</t>
    <phoneticPr fontId="2" type="noConversion"/>
  </si>
  <si>
    <t>Luo, Yizhen, Jiahuan Zhang, Siqi Fan, et al. “BioMedGPT: Open Multimodal Generative Pre-Trained Transformer for BioMedicine.” arXiv:2308.09442. Preprint, arXiv, August 21, 2023. https://doi.org/10.48550/arXiv.2308.09442.</t>
    <phoneticPr fontId="2" type="noConversion"/>
  </si>
  <si>
    <t>BioMedGPT</t>
    <phoneticPr fontId="2" type="noConversion"/>
  </si>
  <si>
    <t>bridge the gap between the language of life and human natural language</t>
    <phoneticPr fontId="2" type="noConversion"/>
  </si>
  <si>
    <t>USMLE
MedMCQA
PubMedQA
(and datasets for other modalities)</t>
    <phoneticPr fontId="2" type="noConversion"/>
  </si>
  <si>
    <t>Mrini, Khalil, Harpreet Singh, Franck Dernoncourt, et al. “Medical Question Understanding and Answering with Knowledge Grounding and Semantic Self-Supervision.” arXiv:2209.15301. Preprint, arXiv, September 30, 2022. https://doi.org/10.48550/arXiv.2209.15301.</t>
    <phoneticPr fontId="2" type="noConversion"/>
  </si>
  <si>
    <t>CHQUA</t>
    <phoneticPr fontId="2" type="noConversion"/>
  </si>
  <si>
    <t>MedQuAD
MeQSum
HealthCareMagic</t>
    <phoneticPr fontId="2" type="noConversion"/>
  </si>
  <si>
    <t>Qu, Chen, Liu Yang, Cen Chen, Minghui Qiu, W. Bruce Croft, and Mohit Iyyer. “Open-Retrieval Conversational Question Answering.” Proceedings of the 43rd International ACM SIGIR Conference on Research and Development in Information Retrieval (New York, NY, USA), SIGIR ’20, Association for Computing Machinery, July 25, 2020, 539–48. https://doi.org/10.1145/3397271.3401110.</t>
    <phoneticPr fontId="2" type="noConversion"/>
  </si>
  <si>
    <t>ORConvQA</t>
    <phoneticPr fontId="2" type="noConversion"/>
  </si>
  <si>
    <t>OR-QuAC</t>
    <phoneticPr fontId="2" type="noConversion"/>
  </si>
  <si>
    <t>Sandeep Nachane, Saeel, Ojas Gramopadhye, Prateek Chanda, et al. “Few Shot Chain-of-Thought Driven Reasoning to Prompt LLMs for Open Ended Medical Question Answering.” Preprint, arXiv, March 1, 2024. https://doi.org/10.48550/arXiv.2403.04890.</t>
    <phoneticPr fontId="2" type="noConversion"/>
  </si>
  <si>
    <t>MEDQA-OPEN</t>
    <phoneticPr fontId="2" type="noConversion"/>
  </si>
  <si>
    <t>The primary goal of this work is to evaluate the capabilities of LLMs in answering questions for real-world clinical decision support systems.</t>
    <phoneticPr fontId="2" type="noConversion"/>
  </si>
  <si>
    <t>CLINICR (prompting methodology)</t>
    <phoneticPr fontId="2" type="noConversion"/>
  </si>
  <si>
    <t>Sarrouti, Mourad, and Said Ouatik El Alaoui. “SemBioNLQA: A Semantic Biomedical Question Answering System for Retrieving Exact and Ideal Answers to Natural Language Questions.” Artificial Intelligence in Medicine 102 (January 2020): 101767. https://doi.org/10.1016/j.artmed.2019.101767.</t>
    <phoneticPr fontId="2" type="noConversion"/>
  </si>
  <si>
    <t>Wang, Junda, Zhichao Yang, Zonghai Yao, and Hong Yu. “JMLR: Joint Medical LLM and Retrieval Training for Enhancing Reasoning and Professional Question Answering Capability.” arXiv:2402.17887. Preprint, arXiv, June 28, 2024. https://doi.org/10.48550/arXiv.2402.17887.</t>
    <phoneticPr fontId="2" type="noConversion"/>
  </si>
  <si>
    <t>Yasunaga, Michihiro, Hongyu Ren, Antoine Bosselut, Percy Liang, and Jure Leskovec. “QA-GNN: Reasoning with Language Models and Knowledge Graphs for Question Answering.” arXiv:2104.06378. Preprint, arXiv, December 13, 2022. https://doi.org/10.48550/arXiv.2104.06378.</t>
    <phoneticPr fontId="2" type="noConversion"/>
  </si>
  <si>
    <t>Zhu, Ming, Aman Ahuja, Wei Wei, and Chandan K. Reddy. “A Hierarchical Attention Retrieval Model for Healthcare Question Answering.” The World Wide Web Conference (New York, NY, USA), WWW ’19, Association for Computing Machinery, May 13, 2019, 2472–82. https://doi.org/10.1145/3308558.3313699.</t>
    <phoneticPr fontId="2" type="noConversion"/>
  </si>
  <si>
    <t>SemBioNLQA</t>
    <phoneticPr fontId="2" type="noConversion"/>
  </si>
  <si>
    <t>Support all question types</t>
    <phoneticPr fontId="2" type="noConversion"/>
  </si>
  <si>
    <t>BioASQ</t>
    <phoneticPr fontId="2" type="noConversion"/>
  </si>
  <si>
    <t xml:space="preserve">MedQA
</t>
    <phoneticPr fontId="2" type="noConversion"/>
  </si>
  <si>
    <t>JMLR</t>
    <phoneticPr fontId="2" type="noConversion"/>
  </si>
  <si>
    <t>QA-GNN</t>
    <phoneticPr fontId="2" type="noConversion"/>
  </si>
  <si>
    <t>CommonsenseQA
OpenBookQA
MedQA-USMLE</t>
    <phoneticPr fontId="2" type="noConversion"/>
  </si>
  <si>
    <t>HAR</t>
    <phoneticPr fontId="2" type="noConversion"/>
  </si>
  <si>
    <t>HealthQA (Create)</t>
    <phoneticPr fontId="2" type="noConversion"/>
  </si>
  <si>
    <t>Arjovsky, Martin, Soumith Chintala, and Léon Bottou. “Wasserstein Generative Adversarial Networks.” Proceedings of the 34th International Conference on Machine Learning, PMLR, July 17, 2017, 214–23. https://proceedings.mlr.press/v70/arjovsky17a.html.</t>
    <phoneticPr fontId="2" type="noConversion"/>
  </si>
  <si>
    <t>Bissoto, Alceu, Fábio Perez, Eduardo Valle, and Sandra Avila. “Skin Lesion Synthesis with Generative Adversarial Networks.” In OR 2.0 Context-Aware Operating Theaters, Computer Assisted Robotic Endoscopy, Clinical Image-Based Procedures, and Skin Image Analysis, edited by Danail Stoyanov, Zeike Taylor, Duygu Sarikaya, et al. Springer International Publishing, 2018. https://doi.org/10.1007/978-3-030-01201-4_32.</t>
    <phoneticPr fontId="2" type="noConversion"/>
  </si>
  <si>
    <t>Chaichuk, Mikhail, Sushant Gautam, Steven Hicks, and Elena Tutubalina. “Prompt to Polyp: Medical Text-Conditioned Image Synthesis with Diffusion Models.” arXiv:2505.05573. Preprint, arXiv, May 12, 2025. https://doi.org/10.48550/arXiv.2505.05573.</t>
    <phoneticPr fontId="2" type="noConversion"/>
  </si>
  <si>
    <t>Chambon, Pierre, Christian Bluethgen, Curtis P. Langlotz, and Akshay Chaudhari. “Adapting Pretrained Vision-Language Foundational Models to Medical Imaging Domains.” arXiv:2210.04133. Preprint, arXiv, October 9, 2022. https://doi.org/10.48550/arXiv.2210.04133.</t>
    <phoneticPr fontId="2" type="noConversion"/>
  </si>
  <si>
    <t>Chang, Huiwen, Han Zhang, Jarred Barber, et al. “Muse: Text-To-Image Generation via Masked Generative Transformers.” arXiv:2301.00704. Preprint, arXiv, January 2, 2023. https://doi.org/10.48550/arXiv.2301.00704.</t>
    <phoneticPr fontId="2" type="noConversion"/>
  </si>
  <si>
    <r>
      <t>Chen, Junsong, Jincheng Yu, Chongjian Ge, et al. “PixArt-$</t>
    </r>
    <r>
      <rPr>
        <sz val="11"/>
        <color theme="1"/>
        <rFont val="Calibri"/>
        <family val="2"/>
        <charset val="161"/>
      </rPr>
      <t>α</t>
    </r>
    <r>
      <rPr>
        <sz val="11"/>
        <color theme="1"/>
        <rFont val="宋体"/>
        <family val="2"/>
        <scheme val="minor"/>
      </rPr>
      <t>$: Fast Training of Diffusion Transformer for Photorealistic Text-to-Image Synthesis.” arXiv:2310.00426. Preprint, arXiv, December 29, 2023. https://doi.org/10.48550/arXiv.2310.00426.</t>
    </r>
    <phoneticPr fontId="2" type="noConversion"/>
  </si>
  <si>
    <t>Chen, Zhihong, Yuhao Du, Jinpeng Hu, et al. “Multi-Modal Masked Autoencoders for Medical Vision-and-Language Pre-Training.” In Medical Image Computing and Computer Assisted Intervention – MICCAI 2022, edited by Linwei Wang, Qi Dou, P. Thomas Fletcher, Stefanie Speidel, and Shuo Li. Springer Nature Switzerland, 2022. https://doi.org/10.1007/978-3-031-16443-9_65.</t>
    <phoneticPr fontId="2" type="noConversion"/>
  </si>
  <si>
    <t>Cho, Joseph, Mrudang Mathur, Cyril Zakka, et al. “MediSyn: A Generalist Text-Guided Latent Diffusion Model For Diverse Medical Image Synthesis.” arXiv:2405.09806. Preprint, arXiv, September 23, 2025. https://doi.org/10.48550/arXiv.2405.09806.</t>
    <phoneticPr fontId="2" type="noConversion"/>
  </si>
  <si>
    <t>Choi, Jooyoung, Sungwon Kim, Yonghyun Jeong, Youngjune Gwon, and Sungroh Yoon. “ILVR: Conditioning Method for Denoising Diffusion Probabilistic Models.” arXiv:2108.02938. Preprint, arXiv, September 15, 2021. https://doi.org/10.48550/arXiv.2108.02938.</t>
    <phoneticPr fontId="2" type="noConversion"/>
  </si>
  <si>
    <t>Dhariwal, Prafulla, and Alexander Nichol. “Diffusion Models Beat GANs on Image Synthesis.” Advances in Neural Information Processing Systems 34 (2021): 8780–94. https://proceedings.neurips.cc/paper/2021/hash/49ad23d1ec9fa4bd8d77d02681df5cfa-Abstract.html.</t>
    <phoneticPr fontId="2" type="noConversion"/>
  </si>
  <si>
    <t>Ding, Ming, Zhuoyi Yang, Wenyi Hong, et al. “CogView: Mastering Text-to-Image Generation via Transformers.” arXiv:2105.13290. Preprint, arXiv, November 5, 2021. https://doi.org/10.48550/arXiv.2105.13290.</t>
    <phoneticPr fontId="2" type="noConversion"/>
  </si>
  <si>
    <t>Ding, Ming, Wendi Zheng, Wenyi Hong, and Jie Tang. “CogView2: Faster and Better Text-to-Image Generation via Hierarchical Transformers.” Advances in Neural Information Processing Systems 35 (December 2022): 16890–902.</t>
    <phoneticPr fontId="2" type="noConversion"/>
  </si>
  <si>
    <t>El-Nouby, Alaaeldin, Shikhar Sharma, Hannes Schulz, et al. “Tell, Draw, and Repeat: Generating and Modifying Images Based on Continual Linguistic Instruction.” 2019, 10304–12. https://openaccess.thecvf.com/content_ICCV_2019/html/El-Nouby_Tell_Draw_and_Repeat_Generating_and_Modifying_Images_Based_on_ICCV_2019_paper.html.</t>
    <phoneticPr fontId="2" type="noConversion"/>
  </si>
  <si>
    <t>Esser, Patrick, Robin Rombach, and Björn Ommer. “Taming Transformers for High-Resolution Image Synthesis.” arXiv:2012.09841. Preprint, arXiv, June 23, 2021. https://doi.org/10.48550/arXiv.2012.09841.</t>
    <phoneticPr fontId="2" type="noConversion"/>
  </si>
  <si>
    <t>Fayyad, Jamil, Nourhan Bayasi, Ziyang Yu, and Homayoun Najjaran. “LesionGen: A Concept-Guided Diffusion Model for Dermatology Image Synthesis.” arXiv:2507.23001. Version 1. Preprint, arXiv, July 30, 2025. https://doi.org/10.48550/arXiv.2507.23001.</t>
    <phoneticPr fontId="2" type="noConversion"/>
  </si>
  <si>
    <t>Gu, Shuyang, Dong Chen, Jianmin Bao, et al. “Vector Quantized Diffusion Model for Text-to-Image Synthesis.” 2022, 10696–706. https://openaccess.thecvf.com/content/CVPR2022/html/Gu_Vector_Quantized_Diffusion_Model_for_Text-to-Image_Synthesis_CVPR_2022_paper.html.</t>
    <phoneticPr fontId="2" type="noConversion"/>
  </si>
  <si>
    <t>Guo, Changlu, Anders Nymark Christensen, and Morten Rieger Hannemose. “Med-Art: Diffusion Transformer for 2D Medical Text-to-Image Generation.” arXiv:2506.20449. Preprint, arXiv, June 25, 2025. https://doi.org/10.48550/arXiv.2506.20449.</t>
    <phoneticPr fontId="2" type="noConversion"/>
  </si>
  <si>
    <t>Ho, Jonathan, Ajay Jain, and Pieter Abbeel. “Denoising Diffusion Probabilistic Models.” Advances in Neural Information Processing Systems 33 (2020): 6840–51. https://proceedings.neurips.cc/paper/2020/hash/4c5bcfec8584af0d967f1ab10179ca4b-Abstract.html.</t>
    <phoneticPr fontId="2" type="noConversion"/>
  </si>
  <si>
    <t>Joy, Tom, Yuge Shi, Philip H. S. Torr, Tom Rainforth, Sebastian M. Schmon, and N. Siddharth. “Learning Multimodal VAEs through Mutual Supervision.” arXiv:2106.12570. Preprint, arXiv, December 16, 2022. https://doi.org/10.48550/arXiv.2106.12570.</t>
    <phoneticPr fontId="2" type="noConversion"/>
  </si>
  <si>
    <t>Kawar, Bahjat, Shiran Zada, Oran Lang, et al. “Imagic: Text-Based Real Image Editing With Diffusion Models.” 2023, 6007–17. https://openaccess.thecvf.com/content/CVPR2023/html/Kawar_Imagic_Text-Based_Real_Image_Editing_With_Diffusion_Models_CVPR_2023_paper.html.</t>
    <phoneticPr fontId="2" type="noConversion"/>
  </si>
  <si>
    <t>Kim, Gwanghyun, Taesung Kwon, and Jong Chul Ye. “DiffusionCLIP: Text-Guided Diffusion Models for Robust Image Manipulation.” 2022, 2426–35. https://openaccess.thecvf.com/content/CVPR2022/html/Kim_DiffusionCLIP_Text-Guided_Diffusion_Models_for_Robust_Image_Manipulation_CVPR_2022_paper.html.</t>
    <phoneticPr fontId="2" type="noConversion"/>
  </si>
  <si>
    <t>Li, Bowen, Xiaojuan Qi, Thomas Lukasiewicz, and Philip Torr. “Controllable Text-to-Image Generation.” Advances in Neural Information Processing Systems 32 (2019). https://proceedings.neurips.cc/paper/2019/hash/1d72310edc006dadf2190caad5802983-Abstract.html.</t>
    <phoneticPr fontId="2" type="noConversion"/>
  </si>
  <si>
    <t>McNulty, John R., Lee Kho, Alexandria L. Case, David Slater, Joshua M. Abzug, and Sybil A. Russell. “Synthetic Medical Imaging Generation with Generative Adversarial Networks for Plain Radiographs.” Applied Sciences 14, no. 15 (2024): 6831. https://doi.org/10.3390/app14156831.</t>
    <phoneticPr fontId="2" type="noConversion"/>
  </si>
  <si>
    <t>Müller-Franzes, Gustav, Jan Moritz Niehues, Firas Khader, et al. “A Multimodal Comparison of Latent Denoising Diffusion Probabilistic Models and Generative Adversarial Networks for Medical Image Synthesis.” Scientific Reports 13, no. 1 (2023): 12098. https://doi.org/10.1038/s41598-023-39278-0.</t>
    <phoneticPr fontId="2" type="noConversion"/>
  </si>
  <si>
    <t>Nichol, Alex, Prafulla Dhariwal, Aditya Ramesh, et al. “GLIDE: Towards Photorealistic Image Generation and Editing with Text-Guided Diffusion Models.” arXiv:2112.10741. Preprint, arXiv, March 8, 2022. https://doi.org/10.48550/arXiv.2112.10741.</t>
    <phoneticPr fontId="2" type="noConversion"/>
  </si>
  <si>
    <t>Oord, Aaron van den, Oriol Vinyals, and koray kavukcuoglu. “Neural Discrete Representation Learning.” Advances in Neural Information Processing Systems 30 (2017). https://proceedings.neurips.cc/paper/2017/hash/7a98af17e63a0ac09ce2e96d03992fbc-Abstract.html.</t>
    <phoneticPr fontId="2" type="noConversion"/>
  </si>
  <si>
    <t>Park, Hyojin, YoungJoon Yoo, and Nojun Kwak. “MC-GAN: Multi-Conditional Generative Adversarial Network for Image Synthesis.” arXiv:1805.01123. Preprint, arXiv, August 15, 2018. https://doi.org/10.48550/arXiv.1805.01123.</t>
    <phoneticPr fontId="2" type="noConversion"/>
  </si>
  <si>
    <t>Ramesh, Aditya, Prafulla Dhariwal, Alex Nichol, Casey Chu, and Mark Chen. “Hierarchical Text-Conditional Image Generation with CLIP Latents.” arXiv:2204.06125. Version 1. Preprint, arXiv, April 13, 2022. https://doi.org/10.48550/arXiv.2204.06125.</t>
    <phoneticPr fontId="2" type="noConversion"/>
  </si>
  <si>
    <t>Ramesh, Aditya, Mikhail Pavlov, Gabriel Goh, et al. “Zero-Shot Text-to-Image Generation.” arXiv:2102.12092. Preprint, arXiv, February 26, 2021. https://doi.org/10.48550/arXiv.2102.12092.</t>
    <phoneticPr fontId="2" type="noConversion"/>
  </si>
  <si>
    <t>Razavi, Ali, Aaron van den Oord, and Oriol Vinyals. “Generating Diverse High-Fidelity Images with VQ-VAE-2.” Advances in Neural Information Processing Systems 32 (2019). https://proceedings.neurips.cc/paper/2019/hash/5f8e2fa1718d1bbcadf1cd9c7a54fb8c-Abstract.html.</t>
    <phoneticPr fontId="2" type="noConversion"/>
  </si>
  <si>
    <t>Rombach, Robin, Andreas Blattmann, Dominik Lorenz, Patrick Esser, and Björn Ommer. “High-Resolution Image Synthesis with Latent Diffusion Models.” arXiv:2112.10752. Preprint, arXiv, April 13, 2022. https://doi.org/10.48550/arXiv.2112.10752.</t>
    <phoneticPr fontId="2" type="noConversion"/>
  </si>
  <si>
    <t>Ruiz, Nataniel, Yuanzhen Li, Varun Jampani, Yael Pritch, Michael Rubinstein, and Kfir Aberman. “DreamBooth: Fine Tuning Text-to-Image Diffusion Models for Subject-Driven Generation.” 2023, 22500–22510. https://openaccess.thecvf.com/content/CVPR2023/html/Ruiz_DreamBooth_Fine_Tuning_Text-to-Image_Diffusion_Models_for_Subject-Driven_Generation_CVPR_2023_paper.html.</t>
    <phoneticPr fontId="2" type="noConversion"/>
  </si>
  <si>
    <t>Saharia, Chitwan, William Chan, Saurabh Saxena, et al. “Photorealistic Text-to-Image Diffusion Models with Deep Language Understanding.” arXiv:2205.11487. Preprint, arXiv, May 23, 2022. https://doi.org/10.48550/arXiv.2205.11487.</t>
    <phoneticPr fontId="2" type="noConversion"/>
  </si>
  <si>
    <t>Schonfeld, Edgar, Bernt Schiele, and Anna Khoreva. “A U-Net Based Discriminator for Generative Adversarial Networks.” 2020, 8207–16. https://openaccess.thecvf.com/content_CVPR_2020/html/Schonfeld_A_U-Net_Based_Discriminator_for_Generative_Adversarial_Networks_CVPR_2020_paper.html.</t>
    <phoneticPr fontId="2" type="noConversion"/>
  </si>
  <si>
    <t>Shao, Huajie, Shuochao Yao, Dachun Sun, et al. “ControlVAE: Controllable Variational Autoencoder.” Proceedings of the 37th International Conference on Machine Learning, PMLR, November 21, 2020, 8655–64. https://proceedings.mlr.press/v119/shao20b.html.</t>
    <phoneticPr fontId="2" type="noConversion"/>
  </si>
  <si>
    <t>Sohl-Dickstein, Jascha, Eric Weiss, Niru Maheswaranathan, and Surya Ganguli. “Deep Unsupervised Learning Using Nonequilibrium Thermodynamics.” Proceedings of the 32nd International Conference on Machine Learning, PMLR, June 1, 2015, 2256–65. https://proceedings.mlr.press/v37/sohl-dickstein15.html.</t>
    <phoneticPr fontId="2" type="noConversion"/>
  </si>
  <si>
    <t>Song, Jiaming, Chenlin Meng, and Stefano Ermon. “Denoising Diffusion Implicit Models.” arXiv:2010.02502. Preprint, arXiv, October 5, 2022. https://doi.org/10.48550/arXiv.2010.02502.</t>
    <phoneticPr fontId="2" type="noConversion"/>
  </si>
  <si>
    <t>Wang, Chaoyue, Chang Xu, Xin Yao, and Dacheng Tao. “Evolutionary Generative Adversarial Networks.” IEEE Transactions on Evolutionary Computation 23, no. 6 (2019): 921–34. https://doi.org/10.1109/TEVC.2019.2895748.</t>
    <phoneticPr fontId="2" type="noConversion"/>
  </si>
  <si>
    <t>Wu, Mike, and Noah Goodman. “Multimodal Generative Models for Scalable Weakly-Supervised Learning.” Advances in Neural Information Processing Systems 31 (2018). https://proceedings.neurips.cc/paper_files/paper/2018/hash/1102a326d5f7c9e04fc3c89d0ede88c9-Abstract.html.</t>
    <phoneticPr fontId="2" type="noConversion"/>
  </si>
  <si>
    <t>Yan, Xinchen, Jimei Yang, Kihyuk Sohn, and Honglak Lee. “Attribute2Image: Conditional Image Generation from Visual Attributes.” arXiv:1512.00570. Preprint, arXiv, October 8, 2016. https://doi.org/10.48550/arXiv.1512.00570.</t>
    <phoneticPr fontId="2" type="noConversion"/>
  </si>
  <si>
    <t>Zhang, Han, Ian Goodfellow, Dimitris Metaxas, and Augustus Odena. “Self-Attention Generative Adversarial Networks.” Proceedings of the 36th International Conference on Machine Learning, PMLR, May 24, 2019, 7354–63. https://proceedings.mlr.press/v97/zhang19d.html.</t>
    <phoneticPr fontId="2" type="noConversion"/>
  </si>
  <si>
    <t>Zhang, Han, Tao Xu, Hongsheng Li, et al. “StackGAN++: Realistic Image Synthesis with Stacked Generative Adversarial Networks.” IEEE Transactions on Pattern Analysis and Machine Intelligence 41, no. 8 (2019): 1947–62. https://doi.org/10.1109/TPAMI.2018.2856256.</t>
    <phoneticPr fontId="2" type="noConversion"/>
  </si>
  <si>
    <t>Zhang, Han, Tao Xu, Hongsheng Li, et al. “StackGAN: Text to Photo-Realistic Image Synthesis with Stacked Generative Adversarial Networks.” arXiv:1612.03242. Preprint, arXiv, August 5, 2017. https://doi.org/10.48550/arXiv.1612.03242.</t>
    <phoneticPr fontId="2" type="noConversion"/>
  </si>
  <si>
    <t>Zhang, Zhixing, Ligong Han, Arnab Ghosh, Dimitris N. Metaxas, and Jian Ren. “SINE: SINgle Image Editing With Text-to-Image Diffusion Models.” 2023, 6027–37. https://openaccess.thecvf.com/content/CVPR2023/html/Zhang_SINE_SINgle_Image_Editing_With_Text-to-Image_Diffusion_Models_CVPR_2023_paper.html.</t>
    <phoneticPr fontId="2" type="noConversion"/>
  </si>
  <si>
    <t>Zhang, Ziyang, Yang Yu, Yucheng Chen, Xulei Yang, and Si Yong Yeo. “MedUnifier: Unifying Vision-and-Language Pre-Training on Medical Data with Vision Generation Task Using Discrete Visual Representations.” 2025, 29744–55. https://openaccess.thecvf.com/content/CVPR2025/html/Zhang_MedUnifier_Unifying_Vision-and-Language_Pre-training_on_Medical_Data_with_Vision_Generation_CVPR_2025_paper.html.</t>
    <phoneticPr fontId="2" type="noConversion"/>
  </si>
  <si>
    <t>Zhao, Zixiang, Haowen Bai, Yuanzhi Zhu, et al. “DDFM: Denoising Diffusion Model for Multi-Modality Image Fusion.” 2023, 8082–93. https://openaccess.thecvf.com/content/ICCV2023/html/Zhao_DDFM_Denoising_Diffusion_Model_for_Multi-Modality_Image_Fusion_ICCV_2023_paper.html.</t>
    <phoneticPr fontId="2" type="noConversion"/>
  </si>
  <si>
    <t>Zhou, Yufan, Ruiyi Zhang, Changyou Chen, et al. “LAFITE: Towards Language-Free Training for Text-to-Image Generation.” arXiv:2111.13792. Preprint, arXiv, March 24, 2022. https://doi.org/10.48550/arXiv.2111.13792.</t>
    <phoneticPr fontId="2" type="noConversion"/>
  </si>
  <si>
    <t>He, Xuehai, Yichen Zhang, Luntian Mou, Eric Xing, and Pengtao Xie. “PathVQA: 30000+ Questions for Medical Visual Question Answering.” arXiv:2003.10286. Preprint, arXiv, March 7, 2020. https://doi.org/10.48550/arXiv.2003.10286.</t>
    <phoneticPr fontId="2" type="noConversion"/>
  </si>
  <si>
    <t>Jin, Qiao, Bhuwan Dhingra, Zhengping Liu, William W. Cohen, and Xinghua Lu. “PubMedQA: A Dataset for Biomedical Research Question Answering.” arXiv:1909.06146. Preprint, arXiv, September 13, 2019. https://doi.org/10.48550/arXiv.1909.06146.</t>
    <phoneticPr fontId="2" type="noConversion"/>
  </si>
  <si>
    <t>Khattak, Muhammad Uzair, Shahina Kunhimon, Muzammal Naseer, Salman Khan, and Fahad Shahbaz Khan. “UniMed-CLIP: Towards a Unified Image-Text Pretraining Paradigm for Diverse Medical Imaging Modalities.” arXiv:2412.10372. Preprint, arXiv, December 13, 2024. https://doi.org/10.48550/arXiv.2412.10372.</t>
    <phoneticPr fontId="2" type="noConversion"/>
  </si>
  <si>
    <t>Kovaleva, Olga, Chaitanya Shivade, Satyananda Kashyap, et al. “Towards Visual Dialog for Radiology.” Proceedings of the 19th SIGBioMed Workshop on Biomedical Language Processing, 2020, 60–69. https://aclanthology.org/2020.bionlp-1.6/.</t>
    <phoneticPr fontId="2" type="noConversion"/>
  </si>
  <si>
    <t>Liu, Bo, Li-Ming Zhan, Li Xu, Lin Ma, Yan Yang, and Xiao-Ming Wu. “Slake: A Semantically-Labeled Knowledge-Enhanced Dataset for Medical Visual Question Answering.” 2021 IEEE 18th International Symposium on Biomedical Imaging (ISBI), IEEE, 2021, 1650–54. https://ieeexplore.ieee.org/abstract/document/9434010/?casa_token=HDFKQORTXAEAAAAA:cBzrn3n3oiJB7EXg3BcpoNmn1n2fO6YvImQBCdc7uTSs06owoujUM2cvDP4ftLPaf5Z7CTkioeTr.</t>
    <phoneticPr fontId="2" type="noConversion"/>
  </si>
  <si>
    <t>Subramanian, Sanjay, Lucy Lu Wang, Sachin Mehta, et al. “MedICaT: A Dataset of Medical Images, Captions, and Textual References.” arXiv:2010.06000. Preprint, arXiv, October 12, 2020. https://doi.org/10.48550/arXiv.2010.06000.</t>
    <phoneticPr fontId="2" type="noConversion"/>
  </si>
  <si>
    <t>Zhang, Xiaoman, Chaoyi Wu, Ziheng Zhao, et al. “Development of a Large-Scale Medical Visual Question-Answering Dataset.” Communications Medicine 4, no. 1 (2024): 277. https://doi.org/10.1038/s43856-024-00709-2.</t>
    <phoneticPr fontId="2" type="noConversion"/>
  </si>
  <si>
    <t>Chen, Xinlei, Hao Fang, Tsung-Yi Lin, et al. “Microsoft COCO Captions: Data Collection and Evaluation Server.” arXiv:1504.00325. Preprint, arXiv, April 3, 2015. https://doi.org/10.48550/arXiv.1504.00325.</t>
    <phoneticPr fontId="2" type="noConversion"/>
  </si>
  <si>
    <t>GAN</t>
    <phoneticPr fontId="2" type="noConversion"/>
  </si>
  <si>
    <t>WGAN</t>
    <phoneticPr fontId="2" type="noConversion"/>
  </si>
  <si>
    <t>Synthetic dataset</t>
    <phoneticPr fontId="2" type="noConversion"/>
  </si>
  <si>
    <t>GAN-based model</t>
    <phoneticPr fontId="2" type="noConversion"/>
  </si>
  <si>
    <t>ISIC</t>
    <phoneticPr fontId="2" type="noConversion"/>
  </si>
  <si>
    <t>MedVQA-GI
ROCOv2</t>
    <phoneticPr fontId="2" type="noConversion"/>
  </si>
  <si>
    <t>MSDM</t>
    <phoneticPr fontId="2" type="noConversion"/>
  </si>
  <si>
    <t>Text-to-image</t>
    <phoneticPr fontId="2" type="noConversion"/>
  </si>
  <si>
    <t>CheXpert
MIMIC-CXR</t>
    <phoneticPr fontId="2" type="noConversion"/>
  </si>
  <si>
    <t>Fine-tuning Stable Diffusion Model</t>
    <phoneticPr fontId="2" type="noConversion"/>
  </si>
  <si>
    <t>study stable diffusion model</t>
    <phoneticPr fontId="2" type="noConversion"/>
  </si>
  <si>
    <t>Muse</t>
    <phoneticPr fontId="2" type="noConversion"/>
  </si>
  <si>
    <t>Imagen dataset</t>
    <phoneticPr fontId="2" type="noConversion"/>
  </si>
  <si>
    <r>
      <t>PIXART-</t>
    </r>
    <r>
      <rPr>
        <sz val="11"/>
        <color theme="1"/>
        <rFont val="Calibri"/>
        <family val="2"/>
        <charset val="161"/>
      </rPr>
      <t>α</t>
    </r>
    <phoneticPr fontId="2" type="noConversion"/>
  </si>
  <si>
    <t>LAION
SAM
JourneyDB</t>
    <phoneticPr fontId="2" type="noConversion"/>
  </si>
  <si>
    <t>significantly reduces computational demands of training while maintaining competitive image generation quality to the current state-of-the-art image generators.
Utilized LLaVA to refine the image caption in the datasets.</t>
    <phoneticPr fontId="2" type="noConversion"/>
  </si>
  <si>
    <t>M3AE</t>
    <phoneticPr fontId="2" type="noConversion"/>
  </si>
  <si>
    <t>ROCO
MedICaT</t>
    <phoneticPr fontId="2" type="noConversion"/>
  </si>
  <si>
    <t>VLP</t>
    <phoneticPr fontId="2" type="noConversion"/>
  </si>
  <si>
    <t>Visual-Language Pre-training (VLP)</t>
    <phoneticPr fontId="2" type="noConversion"/>
  </si>
  <si>
    <t>MediSyn</t>
    <phoneticPr fontId="2" type="noConversion"/>
  </si>
  <si>
    <t>Collected datasets from 6 medical specialties.</t>
    <phoneticPr fontId="2" type="noConversion"/>
  </si>
  <si>
    <t>text-guided image synthesizing</t>
    <phoneticPr fontId="2" type="noConversion"/>
  </si>
  <si>
    <t>ILVR</t>
    <phoneticPr fontId="2" type="noConversion"/>
  </si>
  <si>
    <t>DDPM image generation</t>
    <phoneticPr fontId="2" type="noConversion"/>
  </si>
  <si>
    <t>Use a reference image to refine the generated image. This is an image-conditioned but not text-onditioned.</t>
    <phoneticPr fontId="2" type="noConversion"/>
  </si>
  <si>
    <t>FFHQ
METFACES
AFHQ
Places365
LSUB Church
Paintings</t>
    <phoneticPr fontId="2" type="noConversion"/>
  </si>
  <si>
    <t>ImageNet</t>
    <phoneticPr fontId="2" type="noConversion"/>
  </si>
  <si>
    <t>diffusion model</t>
    <phoneticPr fontId="2" type="noConversion"/>
  </si>
  <si>
    <t>Image Synthesis</t>
    <phoneticPr fontId="2" type="noConversion"/>
  </si>
  <si>
    <t>CogView</t>
    <phoneticPr fontId="2" type="noConversion"/>
  </si>
  <si>
    <t>CogView2</t>
    <phoneticPr fontId="2" type="noConversion"/>
  </si>
  <si>
    <t>CogLM masks various types of tokens in the sequence of text and image tokens, and learns to predict them autoregressively</t>
    <phoneticPr fontId="2" type="noConversion"/>
  </si>
  <si>
    <t>GeNeVA</t>
    <phoneticPr fontId="2" type="noConversion"/>
  </si>
  <si>
    <t>recurrent GAN architecture that specializes in plausible modification of images in the context of an instructional history</t>
    <phoneticPr fontId="2" type="noConversion"/>
  </si>
  <si>
    <t>CoDraw
i-CLEVER</t>
    <phoneticPr fontId="2" type="noConversion"/>
  </si>
  <si>
    <t>iterative text-guided image generation</t>
    <phoneticPr fontId="2" type="noConversion"/>
  </si>
  <si>
    <t>VQGAN network</t>
    <phoneticPr fontId="2" type="noConversion"/>
  </si>
  <si>
    <t>Learn a visual codebook using a VQGAN architecture</t>
    <phoneticPr fontId="2" type="noConversion"/>
  </si>
  <si>
    <t>LesionGen</t>
    <phoneticPr fontId="2" type="noConversion"/>
  </si>
  <si>
    <t>D7P
HAM</t>
    <phoneticPr fontId="2" type="noConversion"/>
  </si>
  <si>
    <t>VQ-Diffusion model</t>
    <phoneticPr fontId="2" type="noConversion"/>
  </si>
  <si>
    <t>CUB-200
Oxford-102
MSCOCO</t>
    <phoneticPr fontId="2" type="noConversion"/>
  </si>
  <si>
    <t>Med-Art</t>
    <phoneticPr fontId="2" type="noConversion"/>
  </si>
  <si>
    <t>Kvasir
skin lesions</t>
    <phoneticPr fontId="2" type="noConversion"/>
  </si>
  <si>
    <t>a diffusion model</t>
    <phoneticPr fontId="2" type="noConversion"/>
  </si>
  <si>
    <t>LSUN
CIFAR10</t>
    <phoneticPr fontId="2" type="noConversion"/>
  </si>
  <si>
    <t>MEME</t>
    <phoneticPr fontId="2" type="noConversion"/>
  </si>
  <si>
    <t>MNIST-SVHN
CUB</t>
    <phoneticPr fontId="2" type="noConversion"/>
  </si>
  <si>
    <t>Imagic</t>
    <phoneticPr fontId="2" type="noConversion"/>
  </si>
  <si>
    <t>Image Editing</t>
    <phoneticPr fontId="2" type="noConversion"/>
  </si>
  <si>
    <t>text-based semantic image editing technique</t>
    <phoneticPr fontId="2" type="noConversion"/>
  </si>
  <si>
    <t>DiffusionCLIP</t>
    <phoneticPr fontId="2" type="noConversion"/>
  </si>
  <si>
    <t>CelebA-HQ
AFHQ-Dog
LSUN-Bedroom
LSUN-Church</t>
    <phoneticPr fontId="2" type="noConversion"/>
  </si>
  <si>
    <t>image manipulation</t>
    <phoneticPr fontId="2" type="noConversion"/>
  </si>
  <si>
    <t>ControlGAN</t>
    <phoneticPr fontId="2" type="noConversion"/>
  </si>
  <si>
    <t>CUB
COCO</t>
    <phoneticPr fontId="2" type="noConversion"/>
  </si>
  <si>
    <t>KneeXrayOAsimple
MURA
UMD Elbow</t>
    <phoneticPr fontId="2" type="noConversion"/>
  </si>
  <si>
    <t>synthetic image-generation pipeline, GIST</t>
    <phoneticPr fontId="2" type="noConversion"/>
  </si>
  <si>
    <t>Medfusion</t>
    <phoneticPr fontId="2" type="noConversion"/>
  </si>
  <si>
    <t>AIRGOS
CRCDX
CheXpert</t>
    <phoneticPr fontId="2" type="noConversion"/>
  </si>
  <si>
    <t>Image Generation &amp; Editing</t>
    <phoneticPr fontId="2" type="noConversion"/>
  </si>
  <si>
    <t>GLIDE</t>
    <phoneticPr fontId="2" type="noConversion"/>
  </si>
  <si>
    <t>Text-conditional image synthesizing/inpainting</t>
    <phoneticPr fontId="2" type="noConversion"/>
  </si>
  <si>
    <t>VQ-VAE</t>
    <phoneticPr fontId="2" type="noConversion"/>
  </si>
  <si>
    <t>representation learning</t>
    <phoneticPr fontId="2" type="noConversion"/>
  </si>
  <si>
    <t>CIFAR10</t>
    <phoneticPr fontId="2" type="noConversion"/>
  </si>
  <si>
    <t>MC-GAN</t>
    <phoneticPr fontId="2" type="noConversion"/>
  </si>
  <si>
    <t>In this paper, we define a novel problem of conditional GAN which generates a new image by synthesizing the background of an original base image and a new object described by the text description in a specific location.</t>
    <phoneticPr fontId="2" type="noConversion"/>
  </si>
  <si>
    <t>Caltech-200
Oxford-102 flower</t>
    <phoneticPr fontId="2" type="noConversion"/>
  </si>
  <si>
    <t>CLIP-based model</t>
    <phoneticPr fontId="2" type="noConversion"/>
  </si>
  <si>
    <t xml:space="preserve">AVA
</t>
    <phoneticPr fontId="2" type="noConversion"/>
  </si>
  <si>
    <t>collected from internet</t>
    <phoneticPr fontId="2" type="noConversion"/>
  </si>
  <si>
    <t>DALL-E</t>
    <phoneticPr fontId="2" type="noConversion"/>
  </si>
  <si>
    <t>image converted to tokens, concatenated with text encoded tokens</t>
    <phoneticPr fontId="2" type="noConversion"/>
  </si>
  <si>
    <t>VQ-VAE-2</t>
    <phoneticPr fontId="2" type="noConversion"/>
  </si>
  <si>
    <t>FFHQ</t>
    <phoneticPr fontId="2" type="noConversion"/>
  </si>
  <si>
    <t>Latent Diffusion Model</t>
    <phoneticPr fontId="2" type="noConversion"/>
  </si>
  <si>
    <t>ImageNet
CelebHQ
FFHQ
LSUN-Churches
LSUN-Bedrooms</t>
    <phoneticPr fontId="2" type="noConversion"/>
  </si>
  <si>
    <t>LDM</t>
    <phoneticPr fontId="2" type="noConversion"/>
  </si>
  <si>
    <t>DreamBooth</t>
    <phoneticPr fontId="2" type="noConversion"/>
  </si>
  <si>
    <t>Edit image according to text guidance</t>
    <phoneticPr fontId="2" type="noConversion"/>
  </si>
  <si>
    <t>DreamBooth Dataset</t>
    <phoneticPr fontId="2" type="noConversion"/>
  </si>
  <si>
    <t>Imagen, DrawBench</t>
    <phoneticPr fontId="2" type="noConversion"/>
  </si>
  <si>
    <t>COCO</t>
    <phoneticPr fontId="2" type="noConversion"/>
  </si>
  <si>
    <t>DrawBench - text-to-image evaluation benchmark</t>
    <phoneticPr fontId="2" type="noConversion"/>
  </si>
  <si>
    <t>U-Net GAN</t>
    <phoneticPr fontId="2" type="noConversion"/>
  </si>
  <si>
    <t>FFHQ
CelebA
COCO</t>
    <phoneticPr fontId="2" type="noConversion"/>
  </si>
  <si>
    <t>Optimize VAE</t>
    <phoneticPr fontId="2" type="noConversion"/>
  </si>
  <si>
    <t>Address the KL vanishing issue, and the low reconstruction quality for disentangling issue.</t>
    <phoneticPr fontId="2" type="noConversion"/>
  </si>
  <si>
    <t>ControlVAE</t>
    <phoneticPr fontId="2" type="noConversion"/>
  </si>
  <si>
    <t>Diffusion Model</t>
    <phoneticPr fontId="2" type="noConversion"/>
  </si>
  <si>
    <t>MNIST
CIFAR-10</t>
    <phoneticPr fontId="2" type="noConversion"/>
  </si>
  <si>
    <t>DDIM</t>
    <phoneticPr fontId="2" type="noConversion"/>
  </si>
  <si>
    <t>CIFAR10
CelebA</t>
    <phoneticPr fontId="2" type="noConversion"/>
  </si>
  <si>
    <t>E-GAN</t>
    <phoneticPr fontId="2" type="noConversion"/>
  </si>
  <si>
    <t>Optimize GAN</t>
    <phoneticPr fontId="2" type="noConversion"/>
  </si>
  <si>
    <t>MVAE</t>
    <phoneticPr fontId="2" type="noConversion"/>
  </si>
  <si>
    <t>multimodal joint distribution</t>
    <phoneticPr fontId="2" type="noConversion"/>
  </si>
  <si>
    <t>MNIST
CelebA</t>
    <phoneticPr fontId="2" type="noConversion"/>
  </si>
  <si>
    <t>attribute-guided image generating, disentangled foreground and background latent variables</t>
    <phoneticPr fontId="2" type="noConversion"/>
  </si>
  <si>
    <t>CVAE-based model</t>
    <phoneticPr fontId="2" type="noConversion"/>
  </si>
  <si>
    <t>LFW
CUB</t>
    <phoneticPr fontId="2" type="noConversion"/>
  </si>
  <si>
    <t>SAGANs</t>
    <phoneticPr fontId="2" type="noConversion"/>
  </si>
  <si>
    <t>StackGAN++</t>
    <phoneticPr fontId="2" type="noConversion"/>
  </si>
  <si>
    <t>CUB
Oxford-102
COCO</t>
    <phoneticPr fontId="2" type="noConversion"/>
  </si>
  <si>
    <t>StackGAN</t>
    <phoneticPr fontId="2" type="noConversion"/>
  </si>
  <si>
    <t>SINE</t>
    <phoneticPr fontId="2" type="noConversion"/>
  </si>
  <si>
    <t>utilize pre-trained diffusion models for single image editing and content manipulation. Text-guided editing.</t>
    <phoneticPr fontId="2" type="noConversion"/>
  </si>
  <si>
    <t>LAION</t>
    <phoneticPr fontId="2" type="noConversion"/>
  </si>
  <si>
    <t>MedUnifier</t>
    <phoneticPr fontId="2" type="noConversion"/>
  </si>
  <si>
    <t>MIMIC-CXR</t>
    <phoneticPr fontId="2" type="noConversion"/>
  </si>
  <si>
    <t>visual-language pre-training</t>
    <phoneticPr fontId="2" type="noConversion"/>
  </si>
  <si>
    <t>Image fusion</t>
    <phoneticPr fontId="2" type="noConversion"/>
  </si>
  <si>
    <t>DDFM</t>
    <phoneticPr fontId="2" type="noConversion"/>
  </si>
  <si>
    <t>TNO
RoadScene
MSRS
M3FD</t>
    <phoneticPr fontId="2" type="noConversion"/>
  </si>
  <si>
    <t>Generate pseudo-text features from the input images, which is fed into the generator.</t>
    <phoneticPr fontId="2" type="noConversion"/>
  </si>
  <si>
    <t>LAFITE</t>
    <phoneticPr fontId="2" type="noConversion"/>
  </si>
  <si>
    <t>MS-COCO
CUB
CelebA-HQ
LN-COCO</t>
    <phoneticPr fontId="2" type="noConversion"/>
  </si>
  <si>
    <t>PathVQA</t>
    <phoneticPr fontId="2" type="noConversion"/>
  </si>
  <si>
    <t>Jiang, Songtao, Tuo Zheng, Yan Zhang, Yeying Jin, Li Yuan, and Zuozhu Liu. “Med-MoE: Mixture of Domain-Specific Experts for Lightweight Medical Vision-Language Models.” arXiv:2404.10237. Preprint, arXiv, September 1, 2024. https://doi.org/10.48550/arXiv.2404.10237.</t>
    <phoneticPr fontId="2" type="noConversion"/>
  </si>
  <si>
    <t>Shi, Yuge, N. Siddharth, Brooks Paige, and Philip H. S. Torr. “Variational Mixture-of-Experts Autoencoders for Multi-Modal Deep Generative Models.” arXiv:1911.03393. Preprint, arXiv, November 8, 2019. https://doi.org/10.48550/arXiv.1911.03393.</t>
    <phoneticPr fontId="2" type="noConversion"/>
  </si>
  <si>
    <t>Radford, Alec, Jong Wook Kim, Chris Hallacy, et al. “Learning Transferable Visual Models From Natural Language Supervision.” arXiv:2103.00020. Preprint, arXiv, February 26, 2021. https://doi.org/10.48550/arXiv.2103.00020.</t>
    <phoneticPr fontId="2" type="noConversion"/>
  </si>
  <si>
    <t>Wang, Zifeng, Zhenbang Wu, Dinesh Agarwal, and Jimeng Sun. “MedCLIP: Contrastive Learning from Unpaired Medical Images and Text.” Proceedings of the Conference on Empirical Methods in Natural Language Processing. Conference on Empirical Methods in Natural Language Processing 2022 (December 2022): 3876–87. https://doi.org/10.18653/v1/2022.emnlp-main.256.</t>
    <phoneticPr fontId="2" type="noConversion"/>
  </si>
  <si>
    <t>Yan, Bin, and Mingtao Pei. “Clinical-BERT: Vision-Language Pre-Training for Radiograph Diagnosis and Reports Generation.” Proceedings of the AAAI Conference on Artificial Intelligence 36, no. 3 (2022): 2982–90. https://doi.org/10.1609/aaai.v36i3.20204.</t>
    <phoneticPr fontId="2" type="noConversion"/>
  </si>
  <si>
    <t>Thawakar, Omkar, Dinura Dissanayake, Ketan More, et al. “LlamaV-O1: Rethinking Step-by-Step Visual Reasoning in LLMs.” arXiv:2501.06186. Preprint, arXiv, January 10, 2025. https://doi.org/10.48550/arXiv.2501.06186.</t>
    <phoneticPr fontId="2" type="noConversion"/>
  </si>
  <si>
    <t>Chen, Guanqi, Haifan Gong, and Guanbin Li. “HCP-MIC at VQA-Med 2020: Effective Visual Representation for Medical Visual Question Answering.” CLEF (Working Notes), 2020, 1–8. https://ceur-ws.org/Vol-2696/paper_74.pdf.</t>
    <phoneticPr fontId="2" type="noConversion"/>
  </si>
  <si>
    <t>Chen, Zhihong, Yuhao Du, Jinpeng Hu, et al. “Mapping Medical Image-Text to a Joint Space via Masked Modeling.” Medical Image Analysis 91 (January 2024): 103018. https://doi.org/10.1016/j.media.2023.103018.</t>
    <phoneticPr fontId="2" type="noConversion"/>
  </si>
  <si>
    <t>Jiang, Qian, Changyou Chen, Han Zhao, et al. “Understanding and Constructing Latent Modality Structures in Multi-Modal Representation Learning.” 2023, 7661–71. https://openaccess.thecvf.com/content/CVPR2023/html/Jiang_Understanding_and_Constructing_Latent_Modality_Structures_in_Multi-Modal_Representation_Learning_CVPR_2023_paper.html.</t>
    <phoneticPr fontId="2" type="noConversion"/>
  </si>
  <si>
    <t>Pérez-García, Fernando, Harshita Sharma, Sam Bond-Taylor, et al. “Exploring Scalable Medical Image Encoders beyond Text Supervision.” Nature Machine Intelligence 7, no. 1 (2025): 119–30. https://doi.org/10.1038/s42256-024-00965-w.</t>
    <phoneticPr fontId="2" type="noConversion"/>
  </si>
  <si>
    <t>Zheng, Wenbo, Lan Yan, Chao Gou, and Fei-Yue Wang. “Knowledge Is Power: Hierarchical-Knowledge Embedded Meta-Learning for Visual Reasoning in Artistic Domains.” Proceedings of the 27th ACM SIGKDD Conference on Knowledge Discovery &amp; Data Mining (New York, NY, USA), KDD ’21, Association for Computing Machinery, August 14, 2021, 2360–68. https://doi.org/10.1145/3447548.3467285.</t>
    <phoneticPr fontId="2" type="noConversion"/>
  </si>
  <si>
    <t>General</t>
    <phoneticPr fontId="2" type="noConversion"/>
  </si>
  <si>
    <t>Medical</t>
    <phoneticPr fontId="2" type="noConversion"/>
  </si>
  <si>
    <t>Med-MoE</t>
    <phoneticPr fontId="2" type="noConversion"/>
  </si>
  <si>
    <t>LLaVA-Med (Phase 1&amp;2)
VQA-RAD (MoE Tuning)
SLAKE
PathVQA
PneumoniaMNIST
OrganCMNIST</t>
    <phoneticPr fontId="2" type="noConversion"/>
  </si>
  <si>
    <t>MMVAE</t>
    <phoneticPr fontId="2" type="noConversion"/>
  </si>
  <si>
    <t>MNIST - SVHN
CUB</t>
    <phoneticPr fontId="2" type="noConversion"/>
  </si>
  <si>
    <t>MoE</t>
    <phoneticPr fontId="2" type="noConversion"/>
  </si>
  <si>
    <t>MoE
Multi-modal VAE that uses a mixture of experts joint variational posteriors</t>
    <phoneticPr fontId="2" type="noConversion"/>
  </si>
  <si>
    <t>CLIP</t>
    <phoneticPr fontId="2" type="noConversion"/>
  </si>
  <si>
    <t>WIT</t>
    <phoneticPr fontId="2" type="noConversion"/>
  </si>
  <si>
    <t>MedCLIP</t>
    <phoneticPr fontId="2" type="noConversion"/>
  </si>
  <si>
    <t>CheXpert
MIMIC-CXR
COVID
RSNA Pneumonia</t>
    <phoneticPr fontId="2" type="noConversion"/>
  </si>
  <si>
    <t>Clinical-BERT</t>
    <phoneticPr fontId="2" type="noConversion"/>
  </si>
  <si>
    <t>MIMIC-CXR
CheXpert
IU X-Ray
NIH</t>
    <phoneticPr fontId="2" type="noConversion"/>
  </si>
  <si>
    <t>TTI</t>
    <phoneticPr fontId="2" type="noConversion"/>
  </si>
  <si>
    <t>LlamaV-o1</t>
    <phoneticPr fontId="2" type="noConversion"/>
  </si>
  <si>
    <t>Visual Reasoning</t>
    <phoneticPr fontId="2" type="noConversion"/>
  </si>
  <si>
    <t>VQA</t>
    <phoneticPr fontId="2" type="noConversion"/>
  </si>
  <si>
    <t>PixMo
Geo170K
Llava-CoT</t>
    <phoneticPr fontId="2" type="noConversion"/>
  </si>
  <si>
    <t>VQA-Med</t>
    <phoneticPr fontId="2" type="noConversion"/>
  </si>
  <si>
    <t>A classification-based three-part framework</t>
    <phoneticPr fontId="2" type="noConversion"/>
  </si>
  <si>
    <t>M3AE</t>
    <phoneticPr fontId="2" type="noConversion"/>
  </si>
  <si>
    <t>Multi-Modal Masked AutoEncoder</t>
    <phoneticPr fontId="2" type="noConversion"/>
  </si>
  <si>
    <t>(For VQA Task)
VQA-RAD
SLAKE
MedVQA-2019</t>
    <phoneticPr fontId="2" type="noConversion"/>
  </si>
  <si>
    <t>RAD-DINO</t>
    <phoneticPr fontId="2" type="noConversion"/>
  </si>
  <si>
    <t>Aristic</t>
    <phoneticPr fontId="2" type="noConversion"/>
  </si>
  <si>
    <t>hierarchical-knowledge embedded meta-learning model</t>
    <phoneticPr fontId="2" type="noConversion"/>
  </si>
  <si>
    <t>Y</t>
    <phoneticPr fontId="2" type="noConversion"/>
  </si>
  <si>
    <t>RefId</t>
    <phoneticPr fontId="2" type="noConversion"/>
  </si>
  <si>
    <t>RefID</t>
    <phoneticPr fontId="2" type="noConversion"/>
  </si>
  <si>
    <t>Title</t>
    <phoneticPr fontId="2" type="noConversion"/>
  </si>
  <si>
    <t>Summary</t>
    <phoneticPr fontId="2" type="noConversion"/>
  </si>
  <si>
    <t>pros</t>
    <phoneticPr fontId="2" type="noConversion"/>
  </si>
  <si>
    <t>cons</t>
    <phoneticPr fontId="2" type="noConversion"/>
  </si>
  <si>
    <t>Proposed a vision-language model based on Flamingo architecture for multimodal in-context learning for the medical domain.Created a novel dataset for the pre-training.</t>
    <phoneticPr fontId="2" type="noConversion"/>
  </si>
  <si>
    <t>Favorable generative VQA performance powered by the few-shot ability; Clinical experts are involved to evaluate the clinical usefulness; Compared to other models, it generates correct answers more directly.</t>
    <phoneticPr fontId="2" type="noConversion"/>
  </si>
  <si>
    <t>Not fully fine-tuned with enough medical data; It is possible to generate hallucinations.</t>
    <phoneticPr fontId="2" type="noConversion"/>
  </si>
  <si>
    <t>Investigate the benefit of CLIP in the medical VQA by training a new version using an image-text pair dataset from PubMed.</t>
    <phoneticPr fontId="2" type="noConversion"/>
  </si>
  <si>
    <t>Improved performance over the original CLIP, confirming the effectiveness of CLIP at aligning text and visual representations.</t>
    <phoneticPr fontId="2" type="noConversion"/>
  </si>
  <si>
    <t>Text encoder from PubMedClip is less powerful for MedVQA; A lack of explainability.</t>
    <phoneticPr fontId="2" type="noConversion"/>
  </si>
  <si>
    <t>Confirmed the contribution of mask image modelling and image-text contrastive learning to the model's accuracy. Benefit any data hanger fields.</t>
    <phoneticPr fontId="2" type="noConversion"/>
  </si>
  <si>
    <t>Proposed a self-supervised transfer learning framework (M2I2) for medical VQA task.It learnt the multimodal feature representation by masking techniques and contrative learning.</t>
    <phoneticPr fontId="2" type="noConversion"/>
  </si>
  <si>
    <t xml:space="preserve">The ImageCLEF caption dataset used for pretraining is relatively small; the quality of the pretrained model might not be ideal. 
</t>
    <phoneticPr fontId="2" type="noConversion"/>
  </si>
  <si>
    <t>Train a conversational assistant in the medical domain, leveraging the LLaVA framework.</t>
    <phoneticPr fontId="2" type="noConversion"/>
  </si>
  <si>
    <t>Strong chat abilities with domain knowledge.</t>
    <phoneticPr fontId="2" type="noConversion"/>
  </si>
  <si>
    <t>Hallucinations exist; weak in-depth reasoning ability.</t>
    <phoneticPr fontId="2" type="noConversion"/>
  </si>
  <si>
    <t xml:space="preserve">The cross-entropy loss function is not superior.
</t>
    <phoneticPr fontId="2" type="noConversion"/>
  </si>
  <si>
    <t>Proposed VG-CALF network, leveraging both intra- and inter-model relationships in MVQA.</t>
    <phoneticPr fontId="2" type="noConversion"/>
  </si>
  <si>
    <t>The incorporated vision-guided cross-attention module ensures alignments between image regions and question words. The late fusion makes sure each modality can be modeled with best techniques.</t>
    <phoneticPr fontId="2" type="noConversion"/>
  </si>
  <si>
    <t>Proposed UnICLAM, a unified and interpretable model for cross-modal learning in Med VQA.</t>
    <phoneticPr fontId="2" type="noConversion"/>
  </si>
  <si>
    <t>Adversarial masking improves the performance, interpretability, and strong few-shot adaptation performance of the heart failure diagnosis task.</t>
    <phoneticPr fontId="2" type="noConversion"/>
  </si>
  <si>
    <t>Demand high-quality data for the contrastive alignment and masking, some medical domain may lack of such data.</t>
    <phoneticPr fontId="2" type="noConversion"/>
  </si>
  <si>
    <t>Proposed a multi-scale visual encoder framework and a language feature enhancement module to address the requirements of multi-scale and multimodal information in medical VQA.</t>
    <phoneticPr fontId="2" type="noConversion"/>
  </si>
  <si>
    <t>Multi-scale fusion tends to increase computation and memory complexity.</t>
    <phoneticPr fontId="2" type="noConversion"/>
  </si>
  <si>
    <t xml:space="preserve">Multi-scale fusion helps to learn the local details and global semantic information of the image. </t>
    <phoneticPr fontId="2" type="noConversion"/>
  </si>
  <si>
    <t>Presented a Modular Collaborative Chain-of-Thought framework for zero-shot Med-VQA tasks.</t>
    <phoneticPr fontId="2" type="noConversion"/>
  </si>
  <si>
    <t>Introduce reasoning ability in MVQA;
Strong generalizability across variant LLM and MLLMs.</t>
    <phoneticPr fontId="2" type="noConversion"/>
  </si>
  <si>
    <t>Limited question types in the training dataset; The quality of prompts used by LLM impacts the performance.</t>
    <phoneticPr fontId="2" type="noConversion"/>
  </si>
  <si>
    <t>Proposed a work on fusing a large language model for radiology and a medical-adapted vision model for enhanced medical QVA.</t>
    <phoneticPr fontId="2" type="noConversion"/>
  </si>
  <si>
    <t>Rooted in the radiology domain, it is difficult for other medical domains and tasks to adapt</t>
    <phoneticPr fontId="2" type="noConversion"/>
  </si>
  <si>
    <t>A flexible architecture. The vision encoder and languange model are independent and can be updated separately.</t>
    <phoneticPr fontId="2" type="noConversion"/>
  </si>
  <si>
    <t>Proposed a VQA model that generates open-ended answers based on multimodal prompts come from the multimodal prompt retrieval module.</t>
    <phoneticPr fontId="2" type="noConversion"/>
  </si>
  <si>
    <t xml:space="preserve">Retrieving relevant content helps generate more factual and less hallucinatory answers </t>
    <phoneticPr fontId="2" type="noConversion"/>
  </si>
  <si>
    <t>The VQA performance depends on the quality of the generated prompts and the accuracy of the underlying RAG</t>
    <phoneticPr fontId="2" type="noConversion"/>
  </si>
  <si>
    <t>Proposed AMAM, a multimodal alignment model for VQA based on attention mechanism.</t>
    <phoneticPr fontId="2" type="noConversion"/>
  </si>
  <si>
    <t>The image and text features are optimally aligned through attention operations.</t>
    <phoneticPr fontId="2" type="noConversion"/>
  </si>
  <si>
    <t>Increased complexity that introduced by the attention mechanism and the image-question complementary loss. This model is not widely evaluated using datasets other than PathVQA and VQA-RAD, so the generality to unseen medical fields is unknown.</t>
    <phoneticPr fontId="2" type="noConversion"/>
  </si>
  <si>
    <t>Created a new self-training pipeline which could generate open-ended questions and corresponding answers to augment VQA training data.</t>
    <phoneticPr fontId="2" type="noConversion"/>
  </si>
  <si>
    <t>The auto-generated dataset improved the data efficiency;</t>
    <phoneticPr fontId="2" type="noConversion"/>
  </si>
  <si>
    <t>The performance of self-training is highly dependent on the quality of auto-generated medical instructional data;
The GPT4o used in the Stage 2 as a governer model may introduce bias.</t>
    <phoneticPr fontId="2" type="noConversion"/>
  </si>
  <si>
    <t>Proposed the MM-Tramba, a Medical VQA model based on transformer and Mamba, to improve the accuracy of answering long sequence questions.</t>
    <phoneticPr fontId="2" type="noConversion"/>
  </si>
  <si>
    <t xml:space="preserve">Mamba helps reduce the model parameters. The SS2D module helps extract richer visual features. The SS2D is a proven-import-factor to the model's accuracy. </t>
    <phoneticPr fontId="2" type="noConversion"/>
  </si>
  <si>
    <t>The Transformer and Mamba fusion increased the complexity. This hybrid design lacks interpretability.</t>
    <phoneticPr fontId="2" type="noConversion"/>
  </si>
  <si>
    <t>Introduced an approach which combines an LLM and RAG system and jointly trains them.</t>
    <phoneticPr fontId="2" type="noConversion"/>
  </si>
  <si>
    <t>The retriever can retrieve more relevant and up-to-date documents to generate correct answers. Reduced the hallucinatory effects in the generated answers.</t>
    <phoneticPr fontId="2" type="noConversion"/>
  </si>
  <si>
    <t>The joint training could be expensive and difficult to converge.</t>
    <phoneticPr fontId="2" type="noConversion"/>
  </si>
  <si>
    <t>Applies Few-Shot Chain-of-Thought prompting to LLM for medical QA</t>
    <phoneticPr fontId="2" type="noConversion"/>
  </si>
  <si>
    <t>The effectiveness of the Verifier is dependent on its training data.</t>
    <phoneticPr fontId="2" type="noConversion"/>
  </si>
  <si>
    <t>Use only prompting techniques; no new LLM trained. Created an open-ended medical QA dataset MEDQA-OPEN; The reward model mechanism makes sure thre reliability of the generated answers.</t>
    <phoneticPr fontId="2" type="noConversion"/>
  </si>
  <si>
    <t>Proposed a Hierarchical Attention Retrieval model for healthcare QA</t>
    <phoneticPr fontId="2" type="noConversion"/>
  </si>
  <si>
    <t>Attention mechanism helps accurately answer retrival;</t>
    <phoneticPr fontId="2" type="noConversion"/>
  </si>
  <si>
    <t>This early work did not utilize modern language models.
Did not generate answers, extract most relevant answer from document instead.</t>
    <phoneticPr fontId="2" type="noConversion"/>
  </si>
  <si>
    <t>A biomedical QA system for retrieving exact and ideal answers for natural language questions.</t>
    <phoneticPr fontId="2" type="noConversion"/>
  </si>
  <si>
    <t>Produced high accuracy in QA; The accurate semantic retrieving ensured the factuality of the answers.</t>
    <phoneticPr fontId="2" type="noConversion"/>
  </si>
  <si>
    <t>Did not generate answers, not able to answer questions not related to training dataset.</t>
    <phoneticPr fontId="2" type="noConversion"/>
  </si>
  <si>
    <t>Proposed a BERT-based language model for biomedical domain.</t>
    <phoneticPr fontId="2" type="noConversion"/>
  </si>
  <si>
    <t>The pretrained model provided a superior language encoder for tasks such as medical QA</t>
    <phoneticPr fontId="2" type="noConversion"/>
  </si>
  <si>
    <t>A pretraining model, fine-tuning is required for downstream QA tasks.</t>
    <phoneticPr fontId="2" type="noConversion"/>
  </si>
  <si>
    <t>Proposed a QA model that used Knowledge Grounding and semantic self-supervision for enhanced medical question understanding.</t>
    <phoneticPr fontId="2" type="noConversion"/>
  </si>
  <si>
    <t>Answers were grounded in factual knowledge that provided remarkable reliability.</t>
    <phoneticPr fontId="2" type="noConversion"/>
  </si>
  <si>
    <t>Answers were retrieved from the knowledge base, and the performance highly depended on the quality and completeness of the data.</t>
    <phoneticPr fontId="2" type="noConversion"/>
  </si>
  <si>
    <t>Proposed a pretrained multimodal LLM to address the gap between the language of life and human natural language.</t>
    <phoneticPr fontId="2" type="noConversion"/>
  </si>
  <si>
    <t>It is a generative model, it can produce content, such as answers to questions, descriptions related to biological objects.</t>
    <phoneticPr fontId="2" type="noConversion"/>
  </si>
  <si>
    <t>Not focused on medical imaging</t>
    <phoneticPr fontId="2" type="noConversion"/>
  </si>
  <si>
    <t>Combined language model and knowledge graphs for question answering.</t>
    <phoneticPr fontId="2" type="noConversion"/>
  </si>
  <si>
    <t>Improved performance over existing LM and LM+KG models on QA tasks; Be able to perform interpretable and structured reasoning</t>
    <phoneticPr fontId="2" type="noConversion"/>
  </si>
  <si>
    <t xml:space="preserve">The performance is highly dependent on the knowledge graph, and it is usually expensive to construct a high-quality knowledge graph.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</si>
</sst>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theme="1"/>
      <name val="宋体"/>
      <family val="2"/>
      <scheme val="minor"/>
    </font>
    <font>
      <sz val="9"/>
      <name val="宋体"/>
      <family val="3"/>
      <charset val="134"/>
      <scheme val="minor"/>
    </font>
    <font>
      <sz val="11"/>
      <color theme="1"/>
      <name val="Calibri"/>
      <family val="2"/>
      <charset val="161"/>
    </font>
    <font>
      <b/>
      <sz val="14"/>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vertical="top"/>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99"/>
  <sheetViews>
    <sheetView workbookViewId="0">
      <pane xSplit="3" ySplit="1" topLeftCell="D13" activePane="bottomRight" state="frozen"/>
      <selection pane="topRight" activeCell="C1" sqref="C1"/>
      <selection pane="bottomLeft" activeCell="A2" sqref="A2"/>
      <selection pane="bottomRight" activeCell="D1" sqref="D1"/>
    </sheetView>
  </sheetViews>
  <sheetFormatPr defaultRowHeight="14.4" x14ac:dyDescent="0.25"/>
  <cols>
    <col min="3" max="3" width="46.21875" style="4" customWidth="1"/>
    <col min="4" max="4" width="6" bestFit="1" customWidth="1"/>
    <col min="5" max="5" width="10.5546875" customWidth="1"/>
    <col min="6" max="6" width="13.109375" customWidth="1"/>
    <col min="7" max="7" width="7.44140625" customWidth="1"/>
    <col min="8" max="8" width="8.5546875" bestFit="1" customWidth="1"/>
    <col min="9" max="9" width="7.88671875" style="1" customWidth="1"/>
    <col min="10" max="10" width="17.77734375" style="1" bestFit="1" customWidth="1"/>
    <col min="11" max="11" width="19" style="1" customWidth="1"/>
    <col min="12" max="12" width="11" customWidth="1"/>
    <col min="13" max="13" width="11.88671875" customWidth="1"/>
    <col min="14" max="14" width="8.77734375" customWidth="1"/>
    <col min="15" max="15" width="9" customWidth="1"/>
    <col min="16" max="16" width="9.33203125" customWidth="1"/>
    <col min="17" max="17" width="8.6640625" customWidth="1"/>
    <col min="18" max="18" width="11.88671875" bestFit="1" customWidth="1"/>
    <col min="19" max="19" width="55.5546875" style="1" bestFit="1" customWidth="1"/>
  </cols>
  <sheetData>
    <row r="1" spans="1:19" s="1" customFormat="1" ht="43.2" x14ac:dyDescent="0.25">
      <c r="A1" s="2" t="s">
        <v>96</v>
      </c>
      <c r="B1" s="2" t="s">
        <v>352</v>
      </c>
      <c r="C1" s="2" t="s">
        <v>0</v>
      </c>
      <c r="D1" s="2" t="s">
        <v>1</v>
      </c>
      <c r="E1" s="2" t="s">
        <v>36</v>
      </c>
      <c r="F1" s="2" t="s">
        <v>2</v>
      </c>
      <c r="G1" s="2" t="s">
        <v>3</v>
      </c>
      <c r="H1" s="2" t="s">
        <v>4</v>
      </c>
      <c r="I1" s="2" t="s">
        <v>5</v>
      </c>
      <c r="J1" s="2" t="s">
        <v>6</v>
      </c>
      <c r="K1" s="2" t="s">
        <v>7</v>
      </c>
      <c r="L1" s="2" t="s">
        <v>8</v>
      </c>
      <c r="M1" s="2" t="s">
        <v>9</v>
      </c>
      <c r="N1" s="2" t="s">
        <v>10</v>
      </c>
      <c r="O1" s="2" t="s">
        <v>11</v>
      </c>
      <c r="P1" s="2" t="s">
        <v>12</v>
      </c>
      <c r="Q1" s="2" t="s">
        <v>13</v>
      </c>
      <c r="R1" s="2" t="s">
        <v>14</v>
      </c>
      <c r="S1" s="2" t="s">
        <v>15</v>
      </c>
    </row>
    <row r="2" spans="1:19" ht="100.8" x14ac:dyDescent="0.25">
      <c r="A2" t="s">
        <v>18</v>
      </c>
      <c r="B2">
        <v>11</v>
      </c>
      <c r="C2" s="3" t="s">
        <v>70</v>
      </c>
      <c r="D2">
        <v>2022</v>
      </c>
      <c r="E2">
        <v>54</v>
      </c>
      <c r="H2" t="s">
        <v>17</v>
      </c>
      <c r="I2" t="s">
        <v>18</v>
      </c>
      <c r="J2" s="1" t="s">
        <v>71</v>
      </c>
      <c r="K2" s="1" t="s">
        <v>72</v>
      </c>
      <c r="L2">
        <v>5</v>
      </c>
      <c r="M2">
        <v>3</v>
      </c>
      <c r="N2">
        <v>3</v>
      </c>
      <c r="O2">
        <v>2</v>
      </c>
      <c r="P2">
        <v>5</v>
      </c>
      <c r="Q2">
        <f>SUM(L2:P2)</f>
        <v>18</v>
      </c>
      <c r="R2" t="s">
        <v>351</v>
      </c>
      <c r="S2" s="1" t="s">
        <v>73</v>
      </c>
    </row>
    <row r="3" spans="1:19" ht="100.8" x14ac:dyDescent="0.25">
      <c r="A3" t="s">
        <v>18</v>
      </c>
      <c r="B3">
        <v>1</v>
      </c>
      <c r="C3" s="3" t="s">
        <v>63</v>
      </c>
      <c r="D3">
        <v>2023</v>
      </c>
      <c r="E3">
        <v>441</v>
      </c>
      <c r="F3" t="s">
        <v>29</v>
      </c>
      <c r="G3" t="s">
        <v>22</v>
      </c>
      <c r="H3" t="s">
        <v>17</v>
      </c>
      <c r="I3" s="1" t="s">
        <v>66</v>
      </c>
      <c r="K3" s="1" t="s">
        <v>64</v>
      </c>
      <c r="L3">
        <v>5</v>
      </c>
      <c r="M3">
        <v>5</v>
      </c>
      <c r="N3">
        <v>5</v>
      </c>
      <c r="O3">
        <v>3</v>
      </c>
      <c r="P3">
        <v>4</v>
      </c>
      <c r="Q3">
        <f>SUM(L3:P3)</f>
        <v>22</v>
      </c>
      <c r="R3" t="s">
        <v>351</v>
      </c>
      <c r="S3" s="1" t="s">
        <v>65</v>
      </c>
    </row>
    <row r="4" spans="1:19" ht="115.2" x14ac:dyDescent="0.25">
      <c r="A4" t="s">
        <v>18</v>
      </c>
      <c r="B4">
        <v>2</v>
      </c>
      <c r="C4" s="3" t="s">
        <v>34</v>
      </c>
      <c r="D4">
        <v>2023</v>
      </c>
      <c r="E4">
        <v>219</v>
      </c>
      <c r="F4" t="s">
        <v>29</v>
      </c>
      <c r="G4" t="s">
        <v>22</v>
      </c>
      <c r="H4" t="s">
        <v>17</v>
      </c>
      <c r="I4" t="s">
        <v>18</v>
      </c>
      <c r="J4" s="1" t="s">
        <v>37</v>
      </c>
      <c r="K4" s="1" t="s">
        <v>38</v>
      </c>
      <c r="L4">
        <v>5</v>
      </c>
      <c r="M4">
        <v>5</v>
      </c>
      <c r="N4">
        <v>4</v>
      </c>
      <c r="O4">
        <v>3</v>
      </c>
      <c r="P4">
        <v>5</v>
      </c>
      <c r="Q4">
        <f>SUM(L4:P4)</f>
        <v>22</v>
      </c>
      <c r="R4" t="s">
        <v>351</v>
      </c>
      <c r="S4" s="1" t="s">
        <v>35</v>
      </c>
    </row>
    <row r="5" spans="1:19" ht="115.2" x14ac:dyDescent="0.25">
      <c r="A5" t="s">
        <v>18</v>
      </c>
      <c r="B5">
        <v>3</v>
      </c>
      <c r="C5" s="3" t="s">
        <v>54</v>
      </c>
      <c r="D5">
        <v>2023</v>
      </c>
      <c r="E5">
        <v>96</v>
      </c>
      <c r="F5" t="s">
        <v>55</v>
      </c>
      <c r="G5" t="s">
        <v>56</v>
      </c>
      <c r="H5" t="s">
        <v>17</v>
      </c>
      <c r="I5" t="s">
        <v>18</v>
      </c>
      <c r="J5" s="1" t="s">
        <v>57</v>
      </c>
      <c r="K5" s="1" t="s">
        <v>58</v>
      </c>
      <c r="L5">
        <v>5</v>
      </c>
      <c r="M5">
        <v>4</v>
      </c>
      <c r="N5">
        <v>4</v>
      </c>
      <c r="O5">
        <v>4</v>
      </c>
      <c r="P5">
        <v>5</v>
      </c>
      <c r="Q5">
        <f>SUM(L5:P5)</f>
        <v>22</v>
      </c>
      <c r="R5" t="s">
        <v>351</v>
      </c>
    </row>
    <row r="6" spans="1:19" ht="72" x14ac:dyDescent="0.25">
      <c r="A6" t="s">
        <v>18</v>
      </c>
      <c r="B6">
        <v>4</v>
      </c>
      <c r="C6" s="3" t="s">
        <v>49</v>
      </c>
      <c r="D6">
        <v>2023</v>
      </c>
      <c r="E6">
        <v>1274</v>
      </c>
      <c r="F6" t="s">
        <v>29</v>
      </c>
      <c r="G6" t="s">
        <v>22</v>
      </c>
      <c r="H6" t="s">
        <v>17</v>
      </c>
      <c r="I6" s="1" t="s">
        <v>50</v>
      </c>
      <c r="J6" s="1" t="s">
        <v>51</v>
      </c>
      <c r="K6" s="1" t="s">
        <v>52</v>
      </c>
      <c r="L6">
        <v>5</v>
      </c>
      <c r="M6">
        <v>4</v>
      </c>
      <c r="N6">
        <v>4</v>
      </c>
      <c r="O6">
        <v>3</v>
      </c>
      <c r="P6">
        <v>4</v>
      </c>
      <c r="Q6">
        <f>SUM(L6:P6)</f>
        <v>20</v>
      </c>
      <c r="R6" t="s">
        <v>351</v>
      </c>
      <c r="S6" s="1" t="s">
        <v>53</v>
      </c>
    </row>
    <row r="7" spans="1:19" ht="144" x14ac:dyDescent="0.25">
      <c r="A7" t="s">
        <v>18</v>
      </c>
      <c r="B7">
        <v>10</v>
      </c>
      <c r="C7" s="3" t="s">
        <v>67</v>
      </c>
      <c r="D7">
        <v>2023</v>
      </c>
      <c r="E7">
        <v>6</v>
      </c>
      <c r="H7" t="s">
        <v>17</v>
      </c>
      <c r="I7" t="s">
        <v>18</v>
      </c>
      <c r="J7" s="1" t="s">
        <v>68</v>
      </c>
      <c r="K7" s="1" t="s">
        <v>69</v>
      </c>
      <c r="L7">
        <v>5</v>
      </c>
      <c r="M7">
        <v>3</v>
      </c>
      <c r="N7">
        <v>2</v>
      </c>
      <c r="O7">
        <v>3</v>
      </c>
      <c r="P7">
        <v>5</v>
      </c>
      <c r="Q7">
        <f>SUM(L7:P7)</f>
        <v>18</v>
      </c>
      <c r="R7" t="s">
        <v>351</v>
      </c>
    </row>
    <row r="8" spans="1:19" ht="86.4" x14ac:dyDescent="0.25">
      <c r="A8" t="s">
        <v>18</v>
      </c>
      <c r="B8">
        <v>8</v>
      </c>
      <c r="C8" s="3" t="s">
        <v>93</v>
      </c>
      <c r="D8">
        <v>2024</v>
      </c>
      <c r="E8">
        <v>15</v>
      </c>
      <c r="H8" t="s">
        <v>17</v>
      </c>
      <c r="I8" t="s">
        <v>18</v>
      </c>
      <c r="J8" s="1" t="s">
        <v>94</v>
      </c>
      <c r="K8" s="1" t="s">
        <v>95</v>
      </c>
      <c r="L8">
        <v>5</v>
      </c>
      <c r="M8">
        <v>3</v>
      </c>
      <c r="N8">
        <v>2</v>
      </c>
      <c r="O8">
        <v>4</v>
      </c>
      <c r="P8">
        <v>5</v>
      </c>
      <c r="Q8">
        <f>SUM(L8:P8)</f>
        <v>19</v>
      </c>
      <c r="R8" t="s">
        <v>351</v>
      </c>
    </row>
    <row r="9" spans="1:19" ht="115.2" x14ac:dyDescent="0.25">
      <c r="A9" t="s">
        <v>18</v>
      </c>
      <c r="B9">
        <v>9</v>
      </c>
      <c r="C9" s="3" t="s">
        <v>39</v>
      </c>
      <c r="D9">
        <v>2024</v>
      </c>
      <c r="E9">
        <v>9</v>
      </c>
      <c r="F9" t="s">
        <v>40</v>
      </c>
      <c r="G9" t="s">
        <v>22</v>
      </c>
      <c r="H9" t="s">
        <v>17</v>
      </c>
      <c r="I9" t="s">
        <v>18</v>
      </c>
      <c r="J9" s="1" t="s">
        <v>41</v>
      </c>
      <c r="K9" s="1" t="s">
        <v>42</v>
      </c>
      <c r="L9">
        <v>5</v>
      </c>
      <c r="M9">
        <v>2</v>
      </c>
      <c r="N9">
        <v>2</v>
      </c>
      <c r="O9">
        <v>4</v>
      </c>
      <c r="P9">
        <v>5</v>
      </c>
      <c r="Q9">
        <f>SUM(L9:P9)</f>
        <v>18</v>
      </c>
      <c r="R9" t="s">
        <v>351</v>
      </c>
    </row>
    <row r="10" spans="1:19" ht="144" x14ac:dyDescent="0.25">
      <c r="A10" t="s">
        <v>18</v>
      </c>
      <c r="B10">
        <v>12</v>
      </c>
      <c r="C10" s="3" t="s">
        <v>80</v>
      </c>
      <c r="D10">
        <v>2024</v>
      </c>
      <c r="E10">
        <v>9</v>
      </c>
      <c r="H10" t="s">
        <v>17</v>
      </c>
      <c r="I10" t="s">
        <v>18</v>
      </c>
      <c r="J10" s="1" t="s">
        <v>81</v>
      </c>
      <c r="K10" s="1" t="s">
        <v>82</v>
      </c>
      <c r="L10">
        <v>5</v>
      </c>
      <c r="M10">
        <v>2</v>
      </c>
      <c r="N10">
        <v>2</v>
      </c>
      <c r="O10">
        <v>4</v>
      </c>
      <c r="P10">
        <v>5</v>
      </c>
      <c r="Q10">
        <f>SUM(L10:P10)</f>
        <v>18</v>
      </c>
      <c r="R10" t="s">
        <v>351</v>
      </c>
    </row>
    <row r="11" spans="1:19" ht="100.8" x14ac:dyDescent="0.25">
      <c r="A11" t="s">
        <v>18</v>
      </c>
      <c r="B11">
        <v>5</v>
      </c>
      <c r="C11" s="3" t="s">
        <v>46</v>
      </c>
      <c r="D11">
        <v>2025</v>
      </c>
      <c r="E11">
        <v>9</v>
      </c>
      <c r="F11" t="s">
        <v>29</v>
      </c>
      <c r="G11" t="s">
        <v>22</v>
      </c>
      <c r="H11" t="s">
        <v>17</v>
      </c>
      <c r="I11" t="s">
        <v>18</v>
      </c>
      <c r="J11" s="1" t="s">
        <v>47</v>
      </c>
      <c r="K11" s="1" t="s">
        <v>38</v>
      </c>
      <c r="L11">
        <v>5</v>
      </c>
      <c r="M11">
        <v>3</v>
      </c>
      <c r="N11">
        <v>2</v>
      </c>
      <c r="O11">
        <v>5</v>
      </c>
      <c r="P11">
        <v>5</v>
      </c>
      <c r="Q11">
        <f>SUM(L11:P11)</f>
        <v>20</v>
      </c>
      <c r="R11" t="s">
        <v>351</v>
      </c>
      <c r="S11" s="1" t="s">
        <v>48</v>
      </c>
    </row>
    <row r="12" spans="1:19" ht="100.8" x14ac:dyDescent="0.25">
      <c r="A12" t="s">
        <v>18</v>
      </c>
      <c r="B12">
        <v>6</v>
      </c>
      <c r="C12" s="3" t="s">
        <v>83</v>
      </c>
      <c r="D12">
        <v>2025</v>
      </c>
      <c r="E12">
        <v>11</v>
      </c>
      <c r="H12" t="s">
        <v>17</v>
      </c>
      <c r="I12" t="s">
        <v>18</v>
      </c>
      <c r="J12" s="1" t="s">
        <v>84</v>
      </c>
      <c r="K12" s="1" t="s">
        <v>85</v>
      </c>
      <c r="L12">
        <v>5</v>
      </c>
      <c r="M12">
        <v>3</v>
      </c>
      <c r="N12">
        <v>2</v>
      </c>
      <c r="O12">
        <v>5</v>
      </c>
      <c r="P12">
        <v>5</v>
      </c>
      <c r="Q12">
        <f>SUM(L12:P12)</f>
        <v>20</v>
      </c>
      <c r="R12" t="s">
        <v>351</v>
      </c>
    </row>
    <row r="13" spans="1:19" ht="187.2" x14ac:dyDescent="0.25">
      <c r="A13" t="s">
        <v>18</v>
      </c>
      <c r="B13">
        <v>7</v>
      </c>
      <c r="C13" s="3" t="s">
        <v>89</v>
      </c>
      <c r="D13">
        <v>2025</v>
      </c>
      <c r="E13">
        <v>0</v>
      </c>
      <c r="H13" t="s">
        <v>17</v>
      </c>
      <c r="I13" t="s">
        <v>18</v>
      </c>
      <c r="J13" s="1" t="s">
        <v>90</v>
      </c>
      <c r="K13" s="1" t="s">
        <v>69</v>
      </c>
      <c r="L13">
        <v>5</v>
      </c>
      <c r="M13">
        <v>3</v>
      </c>
      <c r="N13">
        <v>1</v>
      </c>
      <c r="O13">
        <v>5</v>
      </c>
      <c r="P13">
        <v>5</v>
      </c>
      <c r="Q13">
        <f>SUM(L13:P13)</f>
        <v>19</v>
      </c>
      <c r="R13" t="s">
        <v>351</v>
      </c>
    </row>
    <row r="14" spans="1:19" ht="129.6" x14ac:dyDescent="0.25">
      <c r="A14" t="s">
        <v>18</v>
      </c>
      <c r="B14">
        <v>13</v>
      </c>
      <c r="C14" s="3" t="s">
        <v>91</v>
      </c>
      <c r="D14">
        <v>2025</v>
      </c>
      <c r="E14">
        <v>0</v>
      </c>
      <c r="H14" t="s">
        <v>17</v>
      </c>
      <c r="I14" t="s">
        <v>18</v>
      </c>
      <c r="J14" s="1" t="s">
        <v>92</v>
      </c>
      <c r="K14" s="1" t="s">
        <v>69</v>
      </c>
      <c r="L14">
        <v>5</v>
      </c>
      <c r="M14">
        <v>2</v>
      </c>
      <c r="N14">
        <v>1</v>
      </c>
      <c r="O14">
        <v>5</v>
      </c>
      <c r="P14">
        <v>5</v>
      </c>
      <c r="Q14">
        <f>SUM(L14:P14)</f>
        <v>18</v>
      </c>
      <c r="R14" t="s">
        <v>351</v>
      </c>
    </row>
    <row r="15" spans="1:19" ht="57.6" hidden="1" x14ac:dyDescent="0.25">
      <c r="A15" t="s">
        <v>18</v>
      </c>
      <c r="C15" s="3" t="s">
        <v>16</v>
      </c>
      <c r="D15">
        <v>2019</v>
      </c>
      <c r="E15">
        <v>30</v>
      </c>
      <c r="F15" t="s">
        <v>19</v>
      </c>
      <c r="G15" t="s">
        <v>22</v>
      </c>
      <c r="H15" t="s">
        <v>17</v>
      </c>
      <c r="I15" t="s">
        <v>18</v>
      </c>
      <c r="J15" s="1" t="s">
        <v>20</v>
      </c>
      <c r="K15" s="1" t="s">
        <v>21</v>
      </c>
      <c r="L15">
        <v>5</v>
      </c>
      <c r="M15">
        <v>3</v>
      </c>
      <c r="N15">
        <v>3</v>
      </c>
      <c r="O15">
        <v>1</v>
      </c>
      <c r="P15">
        <v>5</v>
      </c>
      <c r="Q15">
        <f t="shared" ref="Q2:Q23" si="0">SUM(L15:P15)</f>
        <v>17</v>
      </c>
      <c r="S15" s="1" t="s">
        <v>23</v>
      </c>
    </row>
    <row r="16" spans="1:19" ht="86.4" hidden="1" x14ac:dyDescent="0.25">
      <c r="A16" t="s">
        <v>18</v>
      </c>
      <c r="C16" s="3" t="s">
        <v>24</v>
      </c>
      <c r="D16">
        <v>2025</v>
      </c>
      <c r="E16">
        <v>0</v>
      </c>
      <c r="F16" t="s">
        <v>19</v>
      </c>
      <c r="G16" t="s">
        <v>22</v>
      </c>
      <c r="H16" t="s">
        <v>17</v>
      </c>
      <c r="I16" t="s">
        <v>18</v>
      </c>
      <c r="J16" s="1" t="s">
        <v>25</v>
      </c>
      <c r="K16" s="1" t="s">
        <v>27</v>
      </c>
      <c r="L16">
        <v>5</v>
      </c>
      <c r="M16">
        <v>2</v>
      </c>
      <c r="N16">
        <v>0</v>
      </c>
      <c r="O16">
        <v>5</v>
      </c>
      <c r="P16">
        <v>5</v>
      </c>
      <c r="Q16">
        <f t="shared" si="0"/>
        <v>17</v>
      </c>
      <c r="S16" s="1" t="s">
        <v>26</v>
      </c>
    </row>
    <row r="17" spans="1:19" ht="144" hidden="1" x14ac:dyDescent="0.25">
      <c r="A17" t="s">
        <v>18</v>
      </c>
      <c r="C17" s="3" t="s">
        <v>43</v>
      </c>
      <c r="D17">
        <v>2024</v>
      </c>
      <c r="E17">
        <v>3</v>
      </c>
      <c r="F17" t="s">
        <v>29</v>
      </c>
      <c r="G17" t="s">
        <v>22</v>
      </c>
      <c r="H17" t="s">
        <v>17</v>
      </c>
      <c r="I17" t="s">
        <v>18</v>
      </c>
      <c r="J17" s="1" t="s">
        <v>44</v>
      </c>
      <c r="K17" s="1" t="s">
        <v>45</v>
      </c>
      <c r="L17">
        <v>5</v>
      </c>
      <c r="M17">
        <v>2</v>
      </c>
      <c r="N17">
        <v>1</v>
      </c>
      <c r="O17">
        <v>4</v>
      </c>
      <c r="P17">
        <v>5</v>
      </c>
      <c r="Q17">
        <f t="shared" si="0"/>
        <v>17</v>
      </c>
    </row>
    <row r="18" spans="1:19" ht="100.8" hidden="1" x14ac:dyDescent="0.25">
      <c r="A18" t="s">
        <v>18</v>
      </c>
      <c r="C18" s="3" t="s">
        <v>59</v>
      </c>
      <c r="D18">
        <v>2024</v>
      </c>
      <c r="E18">
        <v>3514</v>
      </c>
      <c r="F18" t="s">
        <v>29</v>
      </c>
      <c r="G18" t="s">
        <v>56</v>
      </c>
      <c r="H18" t="s">
        <v>30</v>
      </c>
      <c r="I18" t="s">
        <v>60</v>
      </c>
      <c r="J18" s="1" t="s">
        <v>61</v>
      </c>
      <c r="K18" s="1" t="s">
        <v>62</v>
      </c>
      <c r="L18">
        <v>2</v>
      </c>
      <c r="M18">
        <v>5</v>
      </c>
      <c r="N18">
        <v>5</v>
      </c>
      <c r="O18">
        <v>4</v>
      </c>
      <c r="P18">
        <v>1</v>
      </c>
      <c r="Q18">
        <f t="shared" si="0"/>
        <v>17</v>
      </c>
    </row>
    <row r="19" spans="1:19" ht="86.4" hidden="1" x14ac:dyDescent="0.25">
      <c r="A19" t="s">
        <v>18</v>
      </c>
      <c r="C19" s="3" t="s">
        <v>74</v>
      </c>
      <c r="D19">
        <v>2021</v>
      </c>
      <c r="E19">
        <v>99</v>
      </c>
      <c r="H19" t="s">
        <v>17</v>
      </c>
      <c r="I19" t="s">
        <v>18</v>
      </c>
      <c r="J19" s="1" t="s">
        <v>75</v>
      </c>
      <c r="K19" s="1" t="s">
        <v>77</v>
      </c>
      <c r="L19">
        <v>5</v>
      </c>
      <c r="M19">
        <v>3</v>
      </c>
      <c r="N19">
        <v>3</v>
      </c>
      <c r="O19">
        <v>1</v>
      </c>
      <c r="P19">
        <v>5</v>
      </c>
      <c r="Q19">
        <f t="shared" si="0"/>
        <v>17</v>
      </c>
      <c r="S19" s="1" t="s">
        <v>76</v>
      </c>
    </row>
    <row r="20" spans="1:19" ht="115.2" hidden="1" x14ac:dyDescent="0.25">
      <c r="A20" t="s">
        <v>18</v>
      </c>
      <c r="C20" s="3" t="s">
        <v>78</v>
      </c>
      <c r="D20">
        <v>2024</v>
      </c>
      <c r="E20">
        <v>0</v>
      </c>
      <c r="H20" t="s">
        <v>17</v>
      </c>
      <c r="I20" t="s">
        <v>18</v>
      </c>
      <c r="J20" s="1" t="s">
        <v>79</v>
      </c>
      <c r="L20">
        <v>5</v>
      </c>
      <c r="M20">
        <v>1</v>
      </c>
      <c r="N20">
        <v>1</v>
      </c>
      <c r="O20">
        <v>4</v>
      </c>
      <c r="P20">
        <v>5</v>
      </c>
      <c r="Q20">
        <f t="shared" si="0"/>
        <v>16</v>
      </c>
    </row>
    <row r="21" spans="1:19" ht="86.4" hidden="1" x14ac:dyDescent="0.25">
      <c r="A21" t="s">
        <v>18</v>
      </c>
      <c r="C21" s="3" t="s">
        <v>86</v>
      </c>
      <c r="D21">
        <v>2020</v>
      </c>
      <c r="E21">
        <v>13</v>
      </c>
      <c r="H21" t="s">
        <v>17</v>
      </c>
      <c r="I21" t="s">
        <v>18</v>
      </c>
      <c r="J21" s="1" t="s">
        <v>87</v>
      </c>
      <c r="K21" s="1" t="s">
        <v>88</v>
      </c>
      <c r="L21">
        <v>5</v>
      </c>
      <c r="M21">
        <v>3</v>
      </c>
      <c r="N21">
        <v>2</v>
      </c>
      <c r="O21">
        <v>1</v>
      </c>
      <c r="P21">
        <v>5</v>
      </c>
      <c r="Q21">
        <f t="shared" si="0"/>
        <v>16</v>
      </c>
    </row>
    <row r="22" spans="1:19" ht="86.4" hidden="1" x14ac:dyDescent="0.25">
      <c r="A22" t="s">
        <v>18</v>
      </c>
      <c r="C22" s="3" t="s">
        <v>28</v>
      </c>
      <c r="D22">
        <v>2023</v>
      </c>
      <c r="E22">
        <v>103</v>
      </c>
      <c r="F22" t="s">
        <v>29</v>
      </c>
      <c r="G22" t="s">
        <v>22</v>
      </c>
      <c r="H22" t="s">
        <v>30</v>
      </c>
      <c r="I22" t="s">
        <v>18</v>
      </c>
      <c r="J22" s="1" t="s">
        <v>31</v>
      </c>
      <c r="K22" s="1" t="s">
        <v>33</v>
      </c>
      <c r="L22">
        <v>1</v>
      </c>
      <c r="M22">
        <v>4</v>
      </c>
      <c r="N22">
        <v>4</v>
      </c>
      <c r="O22">
        <v>3</v>
      </c>
      <c r="P22">
        <v>1</v>
      </c>
      <c r="Q22">
        <f t="shared" si="0"/>
        <v>13</v>
      </c>
      <c r="S22" s="1" t="s">
        <v>32</v>
      </c>
    </row>
    <row r="23" spans="1:19" ht="100.8" hidden="1" x14ac:dyDescent="0.25">
      <c r="A23" t="s">
        <v>97</v>
      </c>
      <c r="B23">
        <v>14</v>
      </c>
      <c r="C23" s="3" t="s">
        <v>126</v>
      </c>
      <c r="D23">
        <v>2024</v>
      </c>
      <c r="E23">
        <v>51</v>
      </c>
      <c r="H23" t="s">
        <v>17</v>
      </c>
      <c r="I23" t="s">
        <v>97</v>
      </c>
      <c r="J23" s="1" t="s">
        <v>133</v>
      </c>
      <c r="K23" s="1" t="s">
        <v>132</v>
      </c>
      <c r="L23">
        <v>5</v>
      </c>
      <c r="M23">
        <v>3</v>
      </c>
      <c r="N23">
        <v>3</v>
      </c>
      <c r="O23">
        <v>4</v>
      </c>
      <c r="P23">
        <v>5</v>
      </c>
      <c r="Q23">
        <f>SUM(L23:P23)</f>
        <v>20</v>
      </c>
      <c r="R23" t="s">
        <v>351</v>
      </c>
    </row>
    <row r="24" spans="1:19" ht="86.4" hidden="1" x14ac:dyDescent="0.25">
      <c r="A24" t="s">
        <v>97</v>
      </c>
      <c r="B24">
        <v>15</v>
      </c>
      <c r="C24" s="3" t="s">
        <v>121</v>
      </c>
      <c r="D24">
        <v>2024</v>
      </c>
      <c r="E24">
        <v>24</v>
      </c>
      <c r="H24" t="s">
        <v>17</v>
      </c>
      <c r="I24" t="s">
        <v>97</v>
      </c>
      <c r="J24" s="1" t="s">
        <v>124</v>
      </c>
      <c r="K24" s="1" t="s">
        <v>122</v>
      </c>
      <c r="L24">
        <v>3</v>
      </c>
      <c r="M24">
        <v>3</v>
      </c>
      <c r="N24">
        <v>3</v>
      </c>
      <c r="O24">
        <v>4</v>
      </c>
      <c r="P24">
        <v>5</v>
      </c>
      <c r="Q24">
        <f>SUM(L24:P24)</f>
        <v>18</v>
      </c>
      <c r="R24" t="s">
        <v>351</v>
      </c>
      <c r="S24" s="1" t="s">
        <v>123</v>
      </c>
    </row>
    <row r="25" spans="1:19" ht="110.4" hidden="1" customHeight="1" x14ac:dyDescent="0.25">
      <c r="A25" t="s">
        <v>97</v>
      </c>
      <c r="B25">
        <v>16</v>
      </c>
      <c r="C25" s="3" t="s">
        <v>128</v>
      </c>
      <c r="D25">
        <v>2019</v>
      </c>
      <c r="E25">
        <v>72</v>
      </c>
      <c r="H25" t="s">
        <v>17</v>
      </c>
      <c r="I25" t="s">
        <v>97</v>
      </c>
      <c r="J25" s="1" t="s">
        <v>136</v>
      </c>
      <c r="K25" s="1" t="s">
        <v>137</v>
      </c>
      <c r="L25">
        <v>5</v>
      </c>
      <c r="M25">
        <v>4</v>
      </c>
      <c r="N25">
        <v>3</v>
      </c>
      <c r="O25">
        <v>1</v>
      </c>
      <c r="P25">
        <v>5</v>
      </c>
      <c r="Q25">
        <f>SUM(L25:P25)</f>
        <v>18</v>
      </c>
      <c r="R25" t="s">
        <v>351</v>
      </c>
    </row>
    <row r="26" spans="1:19" ht="100.8" hidden="1" x14ac:dyDescent="0.25">
      <c r="A26" t="s">
        <v>97</v>
      </c>
      <c r="B26">
        <v>17</v>
      </c>
      <c r="C26" s="3" t="s">
        <v>125</v>
      </c>
      <c r="D26">
        <v>2020</v>
      </c>
      <c r="E26">
        <v>93</v>
      </c>
      <c r="H26" t="s">
        <v>17</v>
      </c>
      <c r="I26" t="s">
        <v>97</v>
      </c>
      <c r="J26" s="1" t="s">
        <v>129</v>
      </c>
      <c r="K26" s="1" t="s">
        <v>131</v>
      </c>
      <c r="L26">
        <v>5</v>
      </c>
      <c r="M26">
        <v>3</v>
      </c>
      <c r="N26">
        <v>3</v>
      </c>
      <c r="O26">
        <v>1</v>
      </c>
      <c r="P26">
        <v>5</v>
      </c>
      <c r="Q26">
        <f>SUM(L26:P26)</f>
        <v>17</v>
      </c>
      <c r="R26" t="s">
        <v>351</v>
      </c>
      <c r="S26" s="1" t="s">
        <v>130</v>
      </c>
    </row>
    <row r="27" spans="1:19" ht="100.8" hidden="1" x14ac:dyDescent="0.25">
      <c r="A27" t="s">
        <v>97</v>
      </c>
      <c r="B27">
        <v>18</v>
      </c>
      <c r="C27" s="3" t="s">
        <v>102</v>
      </c>
      <c r="D27">
        <v>2020</v>
      </c>
      <c r="E27">
        <v>8278</v>
      </c>
      <c r="H27" t="s">
        <v>17</v>
      </c>
      <c r="I27" t="s">
        <v>103</v>
      </c>
      <c r="J27" s="1" t="s">
        <v>104</v>
      </c>
      <c r="K27" s="1" t="s">
        <v>105</v>
      </c>
      <c r="L27">
        <v>3</v>
      </c>
      <c r="M27">
        <v>5</v>
      </c>
      <c r="N27">
        <v>5</v>
      </c>
      <c r="O27">
        <v>1</v>
      </c>
      <c r="P27">
        <v>2</v>
      </c>
      <c r="Q27">
        <f>SUM(L27:P27)</f>
        <v>16</v>
      </c>
      <c r="R27" t="s">
        <v>351</v>
      </c>
    </row>
    <row r="28" spans="1:19" ht="100.8" hidden="1" x14ac:dyDescent="0.25">
      <c r="A28" t="s">
        <v>97</v>
      </c>
      <c r="B28">
        <v>19</v>
      </c>
      <c r="C28" s="3" t="s">
        <v>115</v>
      </c>
      <c r="D28">
        <v>2022</v>
      </c>
      <c r="E28">
        <v>8</v>
      </c>
      <c r="H28" t="s">
        <v>17</v>
      </c>
      <c r="I28" t="s">
        <v>97</v>
      </c>
      <c r="J28" s="1" t="s">
        <v>116</v>
      </c>
      <c r="K28" s="1" t="s">
        <v>117</v>
      </c>
      <c r="L28">
        <v>5</v>
      </c>
      <c r="M28">
        <v>2</v>
      </c>
      <c r="N28">
        <v>2</v>
      </c>
      <c r="O28">
        <v>2</v>
      </c>
      <c r="P28">
        <v>5</v>
      </c>
      <c r="Q28">
        <f>SUM(L28:P28)</f>
        <v>16</v>
      </c>
      <c r="R28" t="s">
        <v>351</v>
      </c>
    </row>
    <row r="29" spans="1:19" ht="86.4" hidden="1" x14ac:dyDescent="0.25">
      <c r="A29" t="s">
        <v>97</v>
      </c>
      <c r="B29">
        <v>20</v>
      </c>
      <c r="C29" s="3" t="s">
        <v>111</v>
      </c>
      <c r="D29">
        <v>2023</v>
      </c>
      <c r="E29">
        <v>129</v>
      </c>
      <c r="H29" t="s">
        <v>17</v>
      </c>
      <c r="I29" t="s">
        <v>113</v>
      </c>
      <c r="J29" s="1" t="s">
        <v>112</v>
      </c>
      <c r="K29" s="1" t="s">
        <v>114</v>
      </c>
      <c r="L29">
        <v>3</v>
      </c>
      <c r="M29">
        <v>3</v>
      </c>
      <c r="N29">
        <v>3</v>
      </c>
      <c r="O29">
        <v>3</v>
      </c>
      <c r="P29">
        <v>3</v>
      </c>
      <c r="Q29">
        <f>SUM(L29:P29)</f>
        <v>15</v>
      </c>
      <c r="R29" t="s">
        <v>351</v>
      </c>
    </row>
    <row r="30" spans="1:19" ht="100.8" hidden="1" x14ac:dyDescent="0.25">
      <c r="A30" t="s">
        <v>97</v>
      </c>
      <c r="B30">
        <v>21</v>
      </c>
      <c r="C30" s="3" t="s">
        <v>127</v>
      </c>
      <c r="D30">
        <v>2021</v>
      </c>
      <c r="E30">
        <v>788</v>
      </c>
      <c r="H30" t="s">
        <v>30</v>
      </c>
      <c r="I30" t="s">
        <v>97</v>
      </c>
      <c r="J30" s="1" t="s">
        <v>134</v>
      </c>
      <c r="K30" s="1" t="s">
        <v>135</v>
      </c>
      <c r="L30">
        <v>2</v>
      </c>
      <c r="M30">
        <v>4</v>
      </c>
      <c r="N30">
        <v>4</v>
      </c>
      <c r="O30">
        <v>1</v>
      </c>
      <c r="P30">
        <v>2</v>
      </c>
      <c r="Q30">
        <f>SUM(L30:P30)</f>
        <v>13</v>
      </c>
      <c r="R30" t="s">
        <v>351</v>
      </c>
    </row>
    <row r="31" spans="1:19" ht="230.4" hidden="1" x14ac:dyDescent="0.25">
      <c r="A31" t="s">
        <v>97</v>
      </c>
      <c r="B31">
        <v>22</v>
      </c>
      <c r="C31" s="3" t="s">
        <v>106</v>
      </c>
      <c r="D31">
        <v>2025</v>
      </c>
      <c r="E31">
        <v>46</v>
      </c>
      <c r="H31" t="s">
        <v>17</v>
      </c>
      <c r="I31" s="1" t="s">
        <v>109</v>
      </c>
      <c r="J31" s="1" t="s">
        <v>107</v>
      </c>
      <c r="K31" s="1" t="s">
        <v>108</v>
      </c>
      <c r="L31">
        <v>1</v>
      </c>
      <c r="M31">
        <v>2</v>
      </c>
      <c r="N31">
        <v>2</v>
      </c>
      <c r="O31">
        <v>5</v>
      </c>
      <c r="P31">
        <v>2</v>
      </c>
      <c r="Q31">
        <f>SUM(L31:P31)</f>
        <v>12</v>
      </c>
      <c r="R31" t="s">
        <v>351</v>
      </c>
      <c r="S31" s="1" t="s">
        <v>110</v>
      </c>
    </row>
    <row r="32" spans="1:19" ht="129.6" hidden="1" x14ac:dyDescent="0.25">
      <c r="A32" t="s">
        <v>97</v>
      </c>
      <c r="B32">
        <v>23</v>
      </c>
      <c r="C32" s="3" t="s">
        <v>118</v>
      </c>
      <c r="D32">
        <v>2020</v>
      </c>
      <c r="E32">
        <v>233</v>
      </c>
      <c r="H32" t="s">
        <v>30</v>
      </c>
      <c r="I32" t="s">
        <v>97</v>
      </c>
      <c r="J32" s="1" t="s">
        <v>119</v>
      </c>
      <c r="K32" s="1" t="s">
        <v>120</v>
      </c>
      <c r="L32">
        <v>3</v>
      </c>
      <c r="M32">
        <v>3</v>
      </c>
      <c r="N32">
        <v>3</v>
      </c>
      <c r="O32">
        <v>1</v>
      </c>
      <c r="P32">
        <v>1</v>
      </c>
      <c r="Q32">
        <f>SUM(L32:P32)</f>
        <v>11</v>
      </c>
      <c r="R32" t="s">
        <v>351</v>
      </c>
    </row>
    <row r="33" spans="1:19" ht="129.6" hidden="1" x14ac:dyDescent="0.25">
      <c r="A33" t="s">
        <v>97</v>
      </c>
      <c r="B33">
        <v>24</v>
      </c>
      <c r="C33" s="3" t="s">
        <v>100</v>
      </c>
      <c r="D33">
        <v>2021</v>
      </c>
      <c r="E33">
        <v>30</v>
      </c>
      <c r="H33" t="s">
        <v>30</v>
      </c>
      <c r="I33" t="s">
        <v>97</v>
      </c>
      <c r="J33" s="1" t="s">
        <v>101</v>
      </c>
      <c r="L33">
        <v>1</v>
      </c>
      <c r="M33">
        <v>2</v>
      </c>
      <c r="N33">
        <v>2</v>
      </c>
      <c r="O33">
        <v>1</v>
      </c>
      <c r="P33">
        <v>1</v>
      </c>
      <c r="Q33">
        <f>SUM(L33:P33)</f>
        <v>7</v>
      </c>
      <c r="R33" t="s">
        <v>351</v>
      </c>
    </row>
    <row r="34" spans="1:19" ht="100.8" hidden="1" x14ac:dyDescent="0.25">
      <c r="A34" t="s">
        <v>98</v>
      </c>
      <c r="B34">
        <v>25</v>
      </c>
      <c r="C34" s="3" t="s">
        <v>140</v>
      </c>
      <c r="D34">
        <v>2025</v>
      </c>
      <c r="E34">
        <v>0</v>
      </c>
      <c r="H34" t="s">
        <v>17</v>
      </c>
      <c r="I34" s="1" t="s">
        <v>200</v>
      </c>
      <c r="J34" s="1" t="s">
        <v>199</v>
      </c>
      <c r="K34" s="1" t="s">
        <v>198</v>
      </c>
      <c r="L34">
        <v>5</v>
      </c>
      <c r="M34">
        <v>3</v>
      </c>
      <c r="N34">
        <v>2</v>
      </c>
      <c r="O34">
        <v>5</v>
      </c>
      <c r="P34">
        <v>5</v>
      </c>
      <c r="Q34">
        <f>SUM(L34:P34)</f>
        <v>20</v>
      </c>
      <c r="R34" t="s">
        <v>351</v>
      </c>
    </row>
    <row r="35" spans="1:19" ht="86.4" hidden="1" x14ac:dyDescent="0.25">
      <c r="A35" t="s">
        <v>98</v>
      </c>
      <c r="B35">
        <v>26</v>
      </c>
      <c r="C35" s="3" t="s">
        <v>154</v>
      </c>
      <c r="D35">
        <v>2025</v>
      </c>
      <c r="E35">
        <v>0</v>
      </c>
      <c r="H35" t="s">
        <v>17</v>
      </c>
      <c r="I35" s="1" t="s">
        <v>200</v>
      </c>
      <c r="J35" s="1" t="s">
        <v>236</v>
      </c>
      <c r="K35" s="1" t="s">
        <v>237</v>
      </c>
      <c r="L35">
        <v>5</v>
      </c>
      <c r="M35">
        <v>3</v>
      </c>
      <c r="N35">
        <v>2</v>
      </c>
      <c r="O35">
        <v>5</v>
      </c>
      <c r="P35">
        <v>5</v>
      </c>
      <c r="Q35">
        <f>SUM(L35:P35)</f>
        <v>20</v>
      </c>
      <c r="R35" t="s">
        <v>351</v>
      </c>
    </row>
    <row r="36" spans="1:19" ht="86.4" hidden="1" x14ac:dyDescent="0.25">
      <c r="A36" t="s">
        <v>98</v>
      </c>
      <c r="B36">
        <v>27</v>
      </c>
      <c r="C36" s="3" t="s">
        <v>145</v>
      </c>
      <c r="D36">
        <v>2024</v>
      </c>
      <c r="E36">
        <v>2</v>
      </c>
      <c r="H36" t="s">
        <v>17</v>
      </c>
      <c r="I36" s="1" t="s">
        <v>215</v>
      </c>
      <c r="J36" s="1" t="s">
        <v>213</v>
      </c>
      <c r="K36" s="1" t="s">
        <v>214</v>
      </c>
      <c r="L36">
        <v>4</v>
      </c>
      <c r="M36">
        <v>3</v>
      </c>
      <c r="N36">
        <v>2</v>
      </c>
      <c r="O36">
        <v>4</v>
      </c>
      <c r="P36">
        <v>5</v>
      </c>
      <c r="Q36">
        <f>SUM(L36:P36)</f>
        <v>18</v>
      </c>
      <c r="R36" t="s">
        <v>351</v>
      </c>
    </row>
    <row r="37" spans="1:19" ht="86.4" hidden="1" x14ac:dyDescent="0.25">
      <c r="A37" t="s">
        <v>98</v>
      </c>
      <c r="B37">
        <v>28</v>
      </c>
      <c r="C37" s="3" t="s">
        <v>152</v>
      </c>
      <c r="D37">
        <v>2025</v>
      </c>
      <c r="E37">
        <v>1</v>
      </c>
      <c r="H37" t="s">
        <v>17</v>
      </c>
      <c r="I37" s="1" t="s">
        <v>200</v>
      </c>
      <c r="J37" s="1" t="s">
        <v>232</v>
      </c>
      <c r="K37" s="1" t="s">
        <v>233</v>
      </c>
      <c r="L37">
        <v>4</v>
      </c>
      <c r="M37">
        <v>3</v>
      </c>
      <c r="N37">
        <v>1</v>
      </c>
      <c r="O37">
        <v>5</v>
      </c>
      <c r="P37">
        <v>5</v>
      </c>
      <c r="Q37">
        <f>SUM(L37:P37)</f>
        <v>18</v>
      </c>
      <c r="R37" t="s">
        <v>351</v>
      </c>
    </row>
    <row r="38" spans="1:19" ht="158.4" hidden="1" x14ac:dyDescent="0.25">
      <c r="A38" t="s">
        <v>98</v>
      </c>
      <c r="B38">
        <v>29</v>
      </c>
      <c r="C38" s="3" t="s">
        <v>182</v>
      </c>
      <c r="D38">
        <v>2025</v>
      </c>
      <c r="E38">
        <v>5</v>
      </c>
      <c r="H38" t="s">
        <v>17</v>
      </c>
      <c r="I38" s="1" t="s">
        <v>103</v>
      </c>
      <c r="J38" s="1" t="s">
        <v>303</v>
      </c>
      <c r="K38" s="1" t="s">
        <v>304</v>
      </c>
      <c r="L38">
        <v>3</v>
      </c>
      <c r="M38">
        <v>3</v>
      </c>
      <c r="N38">
        <v>2</v>
      </c>
      <c r="O38">
        <v>5</v>
      </c>
      <c r="P38">
        <v>5</v>
      </c>
      <c r="Q38">
        <f>SUM(L38:P38)</f>
        <v>18</v>
      </c>
      <c r="R38" t="s">
        <v>351</v>
      </c>
      <c r="S38" s="1" t="s">
        <v>305</v>
      </c>
    </row>
    <row r="39" spans="1:19" ht="86.4" hidden="1" x14ac:dyDescent="0.25">
      <c r="A39" t="s">
        <v>98</v>
      </c>
      <c r="B39">
        <v>30</v>
      </c>
      <c r="C39" s="3" t="s">
        <v>142</v>
      </c>
      <c r="D39">
        <v>2023</v>
      </c>
      <c r="E39">
        <v>707</v>
      </c>
      <c r="H39" t="s">
        <v>30</v>
      </c>
      <c r="I39" s="1" t="s">
        <v>200</v>
      </c>
      <c r="J39" s="1" t="s">
        <v>204</v>
      </c>
      <c r="K39" s="1" t="s">
        <v>205</v>
      </c>
      <c r="L39">
        <v>3</v>
      </c>
      <c r="M39">
        <v>4</v>
      </c>
      <c r="N39">
        <v>4</v>
      </c>
      <c r="O39">
        <v>3</v>
      </c>
      <c r="P39">
        <v>3</v>
      </c>
      <c r="Q39">
        <f>SUM(L39:P39)</f>
        <v>17</v>
      </c>
      <c r="R39" t="s">
        <v>351</v>
      </c>
    </row>
    <row r="40" spans="1:19" ht="129.6" hidden="1" x14ac:dyDescent="0.25">
      <c r="A40" t="s">
        <v>18</v>
      </c>
      <c r="C40" s="3" t="s">
        <v>144</v>
      </c>
      <c r="D40">
        <v>2022</v>
      </c>
      <c r="E40">
        <v>183</v>
      </c>
      <c r="H40" t="s">
        <v>17</v>
      </c>
      <c r="I40" s="1" t="s">
        <v>211</v>
      </c>
      <c r="J40" s="1" t="s">
        <v>209</v>
      </c>
      <c r="K40" s="1" t="s">
        <v>210</v>
      </c>
      <c r="L40">
        <v>4</v>
      </c>
      <c r="M40">
        <v>3</v>
      </c>
      <c r="N40">
        <v>3</v>
      </c>
      <c r="O40">
        <v>2</v>
      </c>
      <c r="P40">
        <v>5</v>
      </c>
      <c r="Q40">
        <f>SUM(L40:P40)</f>
        <v>17</v>
      </c>
      <c r="S40" s="1" t="s">
        <v>212</v>
      </c>
    </row>
    <row r="41" spans="1:19" ht="144" hidden="1" x14ac:dyDescent="0.25">
      <c r="A41" t="s">
        <v>98</v>
      </c>
      <c r="B41">
        <v>31</v>
      </c>
      <c r="C41" s="3" t="s">
        <v>316</v>
      </c>
      <c r="D41">
        <v>2022</v>
      </c>
      <c r="E41">
        <v>739</v>
      </c>
      <c r="H41" t="s">
        <v>17</v>
      </c>
      <c r="I41" s="1" t="s">
        <v>103</v>
      </c>
      <c r="J41" s="1" t="s">
        <v>334</v>
      </c>
      <c r="K41" s="1" t="s">
        <v>335</v>
      </c>
      <c r="L41">
        <v>4</v>
      </c>
      <c r="M41">
        <v>3</v>
      </c>
      <c r="N41">
        <v>3</v>
      </c>
      <c r="O41">
        <v>2</v>
      </c>
      <c r="P41">
        <v>5</v>
      </c>
      <c r="Q41">
        <f>SUM(L41:P41)</f>
        <v>17</v>
      </c>
      <c r="R41" t="s">
        <v>351</v>
      </c>
    </row>
    <row r="42" spans="1:19" ht="100.8" hidden="1" x14ac:dyDescent="0.25">
      <c r="A42" t="s">
        <v>98</v>
      </c>
      <c r="B42">
        <v>32</v>
      </c>
      <c r="C42" s="3" t="s">
        <v>141</v>
      </c>
      <c r="D42">
        <v>2022</v>
      </c>
      <c r="E42">
        <v>162</v>
      </c>
      <c r="H42" t="s">
        <v>17</v>
      </c>
      <c r="I42" s="1" t="s">
        <v>200</v>
      </c>
      <c r="J42" s="1" t="s">
        <v>202</v>
      </c>
      <c r="K42" s="1" t="s">
        <v>201</v>
      </c>
      <c r="L42">
        <v>5</v>
      </c>
      <c r="M42">
        <v>2</v>
      </c>
      <c r="N42">
        <v>2</v>
      </c>
      <c r="O42">
        <v>2</v>
      </c>
      <c r="P42">
        <v>5</v>
      </c>
      <c r="Q42">
        <f>SUM(L42:P42)</f>
        <v>16</v>
      </c>
      <c r="R42" t="s">
        <v>351</v>
      </c>
      <c r="S42" s="1" t="s">
        <v>203</v>
      </c>
    </row>
    <row r="43" spans="1:19" ht="87" hidden="1" x14ac:dyDescent="0.3">
      <c r="A43" t="s">
        <v>98</v>
      </c>
      <c r="B43">
        <v>33</v>
      </c>
      <c r="C43" s="3" t="s">
        <v>143</v>
      </c>
      <c r="D43">
        <v>2023</v>
      </c>
      <c r="E43">
        <v>792</v>
      </c>
      <c r="H43" t="s">
        <v>30</v>
      </c>
      <c r="I43" s="1" t="s">
        <v>200</v>
      </c>
      <c r="J43" s="1" t="s">
        <v>206</v>
      </c>
      <c r="K43" s="1" t="s">
        <v>207</v>
      </c>
      <c r="L43">
        <v>2</v>
      </c>
      <c r="M43">
        <v>4</v>
      </c>
      <c r="N43">
        <v>4</v>
      </c>
      <c r="O43">
        <v>3</v>
      </c>
      <c r="P43">
        <v>3</v>
      </c>
      <c r="Q43">
        <f>SUM(L43:P43)</f>
        <v>16</v>
      </c>
      <c r="R43" t="s">
        <v>351</v>
      </c>
      <c r="S43" s="1" t="s">
        <v>208</v>
      </c>
    </row>
    <row r="44" spans="1:19" ht="86.4" hidden="1" x14ac:dyDescent="0.25">
      <c r="A44" t="s">
        <v>98</v>
      </c>
      <c r="B44">
        <v>34</v>
      </c>
      <c r="C44" s="3" t="s">
        <v>315</v>
      </c>
      <c r="D44">
        <v>2021</v>
      </c>
      <c r="E44">
        <v>44515</v>
      </c>
      <c r="H44" t="s">
        <v>30</v>
      </c>
      <c r="I44" s="1" t="s">
        <v>103</v>
      </c>
      <c r="J44" s="1" t="s">
        <v>332</v>
      </c>
      <c r="K44" s="1" t="s">
        <v>333</v>
      </c>
      <c r="L44">
        <v>4</v>
      </c>
      <c r="M44">
        <v>5</v>
      </c>
      <c r="N44">
        <v>5</v>
      </c>
      <c r="O44">
        <v>1</v>
      </c>
      <c r="P44">
        <v>1</v>
      </c>
      <c r="Q44">
        <f>SUM(L44:P44)</f>
        <v>16</v>
      </c>
      <c r="R44" t="s">
        <v>351</v>
      </c>
    </row>
    <row r="45" spans="1:19" ht="86.4" hidden="1" x14ac:dyDescent="0.25">
      <c r="A45" t="s">
        <v>98</v>
      </c>
      <c r="B45">
        <v>35</v>
      </c>
      <c r="C45" s="3" t="s">
        <v>170</v>
      </c>
      <c r="D45">
        <v>2022</v>
      </c>
      <c r="E45">
        <v>7807</v>
      </c>
      <c r="H45" t="s">
        <v>30</v>
      </c>
      <c r="I45" s="1" t="s">
        <v>200</v>
      </c>
      <c r="J45" s="1" t="s">
        <v>276</v>
      </c>
      <c r="K45" s="1" t="s">
        <v>277</v>
      </c>
      <c r="L45">
        <v>4</v>
      </c>
      <c r="M45">
        <v>4</v>
      </c>
      <c r="N45">
        <v>4</v>
      </c>
      <c r="O45">
        <v>2</v>
      </c>
      <c r="P45">
        <v>1</v>
      </c>
      <c r="Q45">
        <f>SUM(L45:P45)</f>
        <v>15</v>
      </c>
      <c r="R45" t="s">
        <v>351</v>
      </c>
      <c r="S45" s="1" t="s">
        <v>278</v>
      </c>
    </row>
    <row r="46" spans="1:19" ht="100.8" hidden="1" x14ac:dyDescent="0.25">
      <c r="A46" t="s">
        <v>338</v>
      </c>
      <c r="B46">
        <v>36</v>
      </c>
      <c r="C46" s="3" t="s">
        <v>317</v>
      </c>
      <c r="D46">
        <v>2022</v>
      </c>
      <c r="E46">
        <v>127</v>
      </c>
      <c r="H46" t="s">
        <v>17</v>
      </c>
      <c r="I46" s="1" t="s">
        <v>103</v>
      </c>
      <c r="J46" s="1" t="s">
        <v>336</v>
      </c>
      <c r="K46" s="1" t="s">
        <v>337</v>
      </c>
      <c r="L46">
        <v>2</v>
      </c>
      <c r="M46">
        <v>3</v>
      </c>
      <c r="N46">
        <v>3</v>
      </c>
      <c r="O46">
        <v>2</v>
      </c>
      <c r="P46">
        <v>5</v>
      </c>
      <c r="Q46">
        <f>SUM(L46:P46)</f>
        <v>15</v>
      </c>
      <c r="R46" t="s">
        <v>351</v>
      </c>
    </row>
    <row r="47" spans="1:19" ht="100.8" hidden="1" x14ac:dyDescent="0.25">
      <c r="A47" t="s">
        <v>98</v>
      </c>
      <c r="C47" s="3" t="s">
        <v>138</v>
      </c>
      <c r="D47">
        <v>2017</v>
      </c>
      <c r="E47">
        <v>20068</v>
      </c>
      <c r="H47" t="s">
        <v>30</v>
      </c>
      <c r="I47" s="1" t="s">
        <v>193</v>
      </c>
      <c r="J47" s="1" t="s">
        <v>194</v>
      </c>
      <c r="L47">
        <v>1</v>
      </c>
      <c r="M47">
        <v>5</v>
      </c>
      <c r="N47">
        <v>5</v>
      </c>
      <c r="O47">
        <v>1</v>
      </c>
      <c r="P47">
        <v>2</v>
      </c>
      <c r="Q47">
        <f>SUM(L47:P47)</f>
        <v>14</v>
      </c>
    </row>
    <row r="48" spans="1:19" ht="100.8" hidden="1" x14ac:dyDescent="0.25">
      <c r="A48" t="s">
        <v>98</v>
      </c>
      <c r="C48" s="3" t="s">
        <v>153</v>
      </c>
      <c r="D48">
        <v>2022</v>
      </c>
      <c r="E48">
        <v>1151</v>
      </c>
      <c r="H48" t="s">
        <v>30</v>
      </c>
      <c r="I48" s="1" t="s">
        <v>200</v>
      </c>
      <c r="J48" s="1" t="s">
        <v>234</v>
      </c>
      <c r="K48" s="1" t="s">
        <v>235</v>
      </c>
      <c r="L48">
        <v>3</v>
      </c>
      <c r="M48">
        <v>4</v>
      </c>
      <c r="N48">
        <v>4</v>
      </c>
      <c r="O48">
        <v>2</v>
      </c>
      <c r="P48">
        <v>1</v>
      </c>
      <c r="Q48">
        <f>SUM(L48:P48)</f>
        <v>14</v>
      </c>
    </row>
    <row r="49" spans="1:19" ht="100.8" hidden="1" x14ac:dyDescent="0.25">
      <c r="A49" t="s">
        <v>98</v>
      </c>
      <c r="C49" s="3" t="s">
        <v>160</v>
      </c>
      <c r="D49">
        <v>2024</v>
      </c>
      <c r="E49">
        <v>8</v>
      </c>
      <c r="H49" t="s">
        <v>17</v>
      </c>
      <c r="I49" s="1" t="s">
        <v>195</v>
      </c>
      <c r="J49" s="1" t="s">
        <v>251</v>
      </c>
      <c r="K49" s="1" t="s">
        <v>250</v>
      </c>
      <c r="L49">
        <v>1</v>
      </c>
      <c r="M49">
        <v>2</v>
      </c>
      <c r="N49">
        <v>2</v>
      </c>
      <c r="O49">
        <v>4</v>
      </c>
      <c r="P49">
        <v>5</v>
      </c>
      <c r="Q49">
        <f>SUM(L49:P49)</f>
        <v>14</v>
      </c>
    </row>
    <row r="50" spans="1:19" ht="115.2" hidden="1" x14ac:dyDescent="0.25">
      <c r="A50" t="s">
        <v>98</v>
      </c>
      <c r="C50" s="3" t="s">
        <v>161</v>
      </c>
      <c r="D50">
        <v>2023</v>
      </c>
      <c r="E50">
        <v>279</v>
      </c>
      <c r="H50" t="s">
        <v>17</v>
      </c>
      <c r="I50" s="1" t="s">
        <v>195</v>
      </c>
      <c r="J50" s="1" t="s">
        <v>252</v>
      </c>
      <c r="K50" s="1" t="s">
        <v>253</v>
      </c>
      <c r="L50">
        <v>1</v>
      </c>
      <c r="M50">
        <v>2</v>
      </c>
      <c r="N50">
        <v>3</v>
      </c>
      <c r="O50">
        <v>3</v>
      </c>
      <c r="P50">
        <v>5</v>
      </c>
      <c r="Q50">
        <f>SUM(L50:P50)</f>
        <v>14</v>
      </c>
    </row>
    <row r="51" spans="1:19" ht="129.6" hidden="1" x14ac:dyDescent="0.25">
      <c r="A51" t="s">
        <v>98</v>
      </c>
      <c r="C51" s="3" t="s">
        <v>169</v>
      </c>
      <c r="D51">
        <v>2023</v>
      </c>
      <c r="E51">
        <v>3738</v>
      </c>
      <c r="H51" t="s">
        <v>30</v>
      </c>
      <c r="I51" s="1" t="s">
        <v>222</v>
      </c>
      <c r="J51" s="1" t="s">
        <v>273</v>
      </c>
      <c r="K51" s="1" t="s">
        <v>275</v>
      </c>
      <c r="L51">
        <v>2</v>
      </c>
      <c r="M51">
        <v>4</v>
      </c>
      <c r="N51">
        <v>4</v>
      </c>
      <c r="O51">
        <v>3</v>
      </c>
      <c r="P51">
        <v>1</v>
      </c>
      <c r="Q51">
        <f>SUM(L51:P51)</f>
        <v>14</v>
      </c>
      <c r="S51" s="1" t="s">
        <v>274</v>
      </c>
    </row>
    <row r="52" spans="1:19" ht="72" hidden="1" x14ac:dyDescent="0.25">
      <c r="A52" t="s">
        <v>98</v>
      </c>
      <c r="C52" s="3" t="s">
        <v>174</v>
      </c>
      <c r="D52">
        <v>2022</v>
      </c>
      <c r="E52">
        <v>10645</v>
      </c>
      <c r="H52" t="s">
        <v>30</v>
      </c>
      <c r="I52" s="1" t="s">
        <v>222</v>
      </c>
      <c r="J52" s="1" t="s">
        <v>286</v>
      </c>
      <c r="K52" s="1" t="s">
        <v>287</v>
      </c>
      <c r="L52">
        <v>1</v>
      </c>
      <c r="M52">
        <v>5</v>
      </c>
      <c r="N52">
        <v>5</v>
      </c>
      <c r="O52">
        <v>2</v>
      </c>
      <c r="P52">
        <v>1</v>
      </c>
      <c r="Q52">
        <f>SUM(L52:P52)</f>
        <v>14</v>
      </c>
    </row>
    <row r="53" spans="1:19" ht="100.8" hidden="1" x14ac:dyDescent="0.25">
      <c r="A53" t="s">
        <v>98</v>
      </c>
      <c r="C53" s="3" t="s">
        <v>155</v>
      </c>
      <c r="D53">
        <v>2020</v>
      </c>
      <c r="E53">
        <v>28638</v>
      </c>
      <c r="H53" t="s">
        <v>30</v>
      </c>
      <c r="I53" s="1" t="s">
        <v>222</v>
      </c>
      <c r="J53" s="1" t="s">
        <v>238</v>
      </c>
      <c r="K53" s="1" t="s">
        <v>239</v>
      </c>
      <c r="L53">
        <v>3</v>
      </c>
      <c r="M53">
        <v>4</v>
      </c>
      <c r="N53">
        <v>4</v>
      </c>
      <c r="O53">
        <v>1</v>
      </c>
      <c r="P53">
        <v>1</v>
      </c>
      <c r="Q53">
        <f>SUM(L53:P53)</f>
        <v>13</v>
      </c>
    </row>
    <row r="54" spans="1:19" ht="100.8" hidden="1" x14ac:dyDescent="0.25">
      <c r="A54" t="s">
        <v>98</v>
      </c>
      <c r="C54" s="3" t="s">
        <v>162</v>
      </c>
      <c r="D54">
        <v>2022</v>
      </c>
      <c r="E54">
        <v>4587</v>
      </c>
      <c r="H54" t="s">
        <v>30</v>
      </c>
      <c r="I54" s="1" t="s">
        <v>254</v>
      </c>
      <c r="J54" s="1" t="s">
        <v>255</v>
      </c>
      <c r="L54">
        <v>2</v>
      </c>
      <c r="M54">
        <v>4</v>
      </c>
      <c r="N54">
        <v>4</v>
      </c>
      <c r="O54">
        <v>2</v>
      </c>
      <c r="P54">
        <v>1</v>
      </c>
      <c r="Q54">
        <f>SUM(L54:P54)</f>
        <v>13</v>
      </c>
      <c r="S54" s="1" t="s">
        <v>256</v>
      </c>
    </row>
    <row r="55" spans="1:19" ht="100.8" hidden="1" x14ac:dyDescent="0.25">
      <c r="A55" t="s">
        <v>98</v>
      </c>
      <c r="C55" s="3" t="s">
        <v>165</v>
      </c>
      <c r="D55">
        <v>2022</v>
      </c>
      <c r="E55">
        <v>8829</v>
      </c>
      <c r="H55" t="s">
        <v>30</v>
      </c>
      <c r="I55" s="1" t="s">
        <v>200</v>
      </c>
      <c r="J55" s="1" t="s">
        <v>263</v>
      </c>
      <c r="K55" s="1" t="s">
        <v>264</v>
      </c>
      <c r="L55">
        <v>2</v>
      </c>
      <c r="M55">
        <v>4</v>
      </c>
      <c r="N55">
        <v>4</v>
      </c>
      <c r="O55">
        <v>2</v>
      </c>
      <c r="P55">
        <v>1</v>
      </c>
      <c r="Q55">
        <f>SUM(L55:P55)</f>
        <v>13</v>
      </c>
    </row>
    <row r="56" spans="1:19" ht="72" hidden="1" x14ac:dyDescent="0.25">
      <c r="A56" t="s">
        <v>98</v>
      </c>
      <c r="C56" s="3" t="s">
        <v>166</v>
      </c>
      <c r="D56">
        <v>2021</v>
      </c>
      <c r="E56">
        <v>7288</v>
      </c>
      <c r="H56" t="s">
        <v>30</v>
      </c>
      <c r="I56" s="1" t="s">
        <v>200</v>
      </c>
      <c r="J56" s="1" t="s">
        <v>266</v>
      </c>
      <c r="K56" s="1" t="s">
        <v>265</v>
      </c>
      <c r="L56">
        <v>3</v>
      </c>
      <c r="M56">
        <v>4</v>
      </c>
      <c r="N56">
        <v>4</v>
      </c>
      <c r="O56">
        <v>1</v>
      </c>
      <c r="P56">
        <v>1</v>
      </c>
      <c r="Q56">
        <f>SUM(L56:P56)</f>
        <v>13</v>
      </c>
      <c r="S56" s="1" t="s">
        <v>267</v>
      </c>
    </row>
    <row r="57" spans="1:19" ht="86.4" hidden="1" x14ac:dyDescent="0.25">
      <c r="A57" t="s">
        <v>98</v>
      </c>
      <c r="C57" s="3" t="s">
        <v>184</v>
      </c>
      <c r="D57">
        <v>2022</v>
      </c>
      <c r="E57">
        <v>364</v>
      </c>
      <c r="H57" t="s">
        <v>30</v>
      </c>
      <c r="I57" s="1" t="s">
        <v>200</v>
      </c>
      <c r="J57" s="1" t="s">
        <v>310</v>
      </c>
      <c r="K57" s="1" t="s">
        <v>311</v>
      </c>
      <c r="L57">
        <v>4</v>
      </c>
      <c r="M57">
        <v>3</v>
      </c>
      <c r="N57">
        <v>3</v>
      </c>
      <c r="O57">
        <v>2</v>
      </c>
      <c r="P57">
        <v>1</v>
      </c>
      <c r="Q57">
        <f>SUM(L57:P57)</f>
        <v>13</v>
      </c>
      <c r="S57" s="1" t="s">
        <v>309</v>
      </c>
    </row>
    <row r="58" spans="1:19" ht="100.8" hidden="1" x14ac:dyDescent="0.25">
      <c r="A58" t="s">
        <v>98</v>
      </c>
      <c r="C58" s="3" t="s">
        <v>147</v>
      </c>
      <c r="D58">
        <v>2021</v>
      </c>
      <c r="E58">
        <v>10922</v>
      </c>
      <c r="H58" t="s">
        <v>30</v>
      </c>
      <c r="I58" s="1" t="s">
        <v>222</v>
      </c>
      <c r="J58" s="1" t="s">
        <v>221</v>
      </c>
      <c r="K58" s="1" t="s">
        <v>220</v>
      </c>
      <c r="L58">
        <v>2</v>
      </c>
      <c r="M58">
        <v>4</v>
      </c>
      <c r="N58">
        <v>4</v>
      </c>
      <c r="O58">
        <v>1</v>
      </c>
      <c r="P58">
        <v>1</v>
      </c>
      <c r="Q58">
        <f>SUM(L58:P58)</f>
        <v>12</v>
      </c>
    </row>
    <row r="59" spans="1:19" ht="86.4" hidden="1" x14ac:dyDescent="0.25">
      <c r="A59" t="s">
        <v>98</v>
      </c>
      <c r="C59" s="3" t="s">
        <v>149</v>
      </c>
      <c r="D59">
        <v>2022</v>
      </c>
      <c r="E59">
        <v>410</v>
      </c>
      <c r="H59" t="s">
        <v>30</v>
      </c>
      <c r="I59" s="1" t="s">
        <v>200</v>
      </c>
      <c r="J59" s="1" t="s">
        <v>224</v>
      </c>
      <c r="L59">
        <v>3</v>
      </c>
      <c r="M59">
        <v>3</v>
      </c>
      <c r="N59">
        <v>3</v>
      </c>
      <c r="O59">
        <v>2</v>
      </c>
      <c r="P59">
        <v>1</v>
      </c>
      <c r="Q59">
        <f>SUM(L59:P59)</f>
        <v>12</v>
      </c>
      <c r="S59" s="1" t="s">
        <v>225</v>
      </c>
    </row>
    <row r="60" spans="1:19" ht="100.8" hidden="1" x14ac:dyDescent="0.25">
      <c r="A60" t="s">
        <v>98</v>
      </c>
      <c r="C60" s="3" t="s">
        <v>163</v>
      </c>
      <c r="D60">
        <v>2017</v>
      </c>
      <c r="E60">
        <v>7105</v>
      </c>
      <c r="H60" t="s">
        <v>30</v>
      </c>
      <c r="I60" s="1" t="s">
        <v>258</v>
      </c>
      <c r="J60" s="1" t="s">
        <v>257</v>
      </c>
      <c r="K60" s="1" t="s">
        <v>259</v>
      </c>
      <c r="L60">
        <v>2</v>
      </c>
      <c r="M60">
        <v>4</v>
      </c>
      <c r="N60">
        <v>4</v>
      </c>
      <c r="O60">
        <v>1</v>
      </c>
      <c r="P60">
        <v>1</v>
      </c>
      <c r="Q60">
        <f>SUM(L60:P60)</f>
        <v>12</v>
      </c>
    </row>
    <row r="61" spans="1:19" ht="86.4" hidden="1" x14ac:dyDescent="0.25">
      <c r="A61" t="s">
        <v>98</v>
      </c>
      <c r="C61" s="3" t="s">
        <v>168</v>
      </c>
      <c r="D61">
        <v>2022</v>
      </c>
      <c r="E61">
        <v>24689</v>
      </c>
      <c r="H61" t="s">
        <v>30</v>
      </c>
      <c r="I61" s="1" t="s">
        <v>222</v>
      </c>
      <c r="J61" s="1" t="s">
        <v>270</v>
      </c>
      <c r="K61" s="1" t="s">
        <v>271</v>
      </c>
      <c r="L61">
        <v>1</v>
      </c>
      <c r="M61">
        <v>4</v>
      </c>
      <c r="N61">
        <v>4</v>
      </c>
      <c r="O61">
        <v>2</v>
      </c>
      <c r="P61">
        <v>1</v>
      </c>
      <c r="Q61">
        <f>SUM(L61:P61)</f>
        <v>12</v>
      </c>
      <c r="S61" s="1" t="s">
        <v>272</v>
      </c>
    </row>
    <row r="62" spans="1:19" ht="115.2" hidden="1" x14ac:dyDescent="0.25">
      <c r="A62" t="s">
        <v>98</v>
      </c>
      <c r="C62" s="3" t="s">
        <v>173</v>
      </c>
      <c r="D62">
        <v>2015</v>
      </c>
      <c r="E62">
        <v>9831</v>
      </c>
      <c r="H62" t="s">
        <v>30</v>
      </c>
      <c r="I62" s="1" t="s">
        <v>284</v>
      </c>
      <c r="K62" s="1" t="s">
        <v>285</v>
      </c>
      <c r="L62">
        <v>1</v>
      </c>
      <c r="M62">
        <v>5</v>
      </c>
      <c r="N62">
        <v>4</v>
      </c>
      <c r="O62">
        <v>1</v>
      </c>
      <c r="P62">
        <v>1</v>
      </c>
      <c r="Q62">
        <f>SUM(L62:P62)</f>
        <v>12</v>
      </c>
    </row>
    <row r="63" spans="1:19" ht="115.2" hidden="1" x14ac:dyDescent="0.25">
      <c r="A63" t="s">
        <v>98</v>
      </c>
      <c r="C63" s="3" t="s">
        <v>181</v>
      </c>
      <c r="D63">
        <v>2023</v>
      </c>
      <c r="E63">
        <v>216</v>
      </c>
      <c r="H63" t="s">
        <v>30</v>
      </c>
      <c r="I63" s="1" t="s">
        <v>243</v>
      </c>
      <c r="J63" s="1" t="s">
        <v>300</v>
      </c>
      <c r="K63" s="1" t="s">
        <v>302</v>
      </c>
      <c r="L63">
        <v>2</v>
      </c>
      <c r="M63">
        <v>3</v>
      </c>
      <c r="N63">
        <v>3</v>
      </c>
      <c r="O63">
        <v>3</v>
      </c>
      <c r="P63">
        <v>1</v>
      </c>
      <c r="Q63">
        <f>SUM(L63:P63)</f>
        <v>12</v>
      </c>
      <c r="S63" s="1" t="s">
        <v>301</v>
      </c>
    </row>
    <row r="64" spans="1:19" ht="86.4" hidden="1" x14ac:dyDescent="0.25">
      <c r="A64" t="s">
        <v>98</v>
      </c>
      <c r="C64" s="3" t="s">
        <v>146</v>
      </c>
      <c r="D64">
        <v>2021</v>
      </c>
      <c r="E64">
        <v>940</v>
      </c>
      <c r="H64" t="s">
        <v>30</v>
      </c>
      <c r="I64" s="1" t="s">
        <v>217</v>
      </c>
      <c r="J64" s="1" t="s">
        <v>216</v>
      </c>
      <c r="K64" s="1" t="s">
        <v>219</v>
      </c>
      <c r="L64">
        <v>1</v>
      </c>
      <c r="M64">
        <v>4</v>
      </c>
      <c r="N64">
        <v>4</v>
      </c>
      <c r="O64">
        <v>1</v>
      </c>
      <c r="P64">
        <v>1</v>
      </c>
      <c r="Q64">
        <f>SUM(L64:P64)</f>
        <v>11</v>
      </c>
      <c r="S64" s="1" t="s">
        <v>218</v>
      </c>
    </row>
    <row r="65" spans="1:19" ht="72" hidden="1" x14ac:dyDescent="0.25">
      <c r="A65" t="s">
        <v>98</v>
      </c>
      <c r="C65" s="3" t="s">
        <v>148</v>
      </c>
      <c r="D65">
        <v>2021</v>
      </c>
      <c r="E65">
        <v>996</v>
      </c>
      <c r="H65" t="s">
        <v>30</v>
      </c>
      <c r="I65" s="1" t="s">
        <v>200</v>
      </c>
      <c r="J65" s="1" t="s">
        <v>223</v>
      </c>
      <c r="L65">
        <v>3</v>
      </c>
      <c r="M65">
        <v>3</v>
      </c>
      <c r="N65">
        <v>3</v>
      </c>
      <c r="O65">
        <v>1</v>
      </c>
      <c r="P65">
        <v>1</v>
      </c>
      <c r="Q65">
        <f>SUM(L65:P65)</f>
        <v>11</v>
      </c>
    </row>
    <row r="66" spans="1:19" ht="129.6" hidden="1" x14ac:dyDescent="0.25">
      <c r="A66" t="s">
        <v>98</v>
      </c>
      <c r="C66" s="3" t="s">
        <v>150</v>
      </c>
      <c r="D66">
        <v>2019</v>
      </c>
      <c r="E66">
        <v>91</v>
      </c>
      <c r="H66" t="s">
        <v>30</v>
      </c>
      <c r="I66" s="1" t="s">
        <v>229</v>
      </c>
      <c r="J66" s="1" t="s">
        <v>226</v>
      </c>
      <c r="K66" s="1" t="s">
        <v>228</v>
      </c>
      <c r="L66">
        <v>3</v>
      </c>
      <c r="M66">
        <v>3</v>
      </c>
      <c r="N66">
        <v>3</v>
      </c>
      <c r="O66">
        <v>1</v>
      </c>
      <c r="P66">
        <v>1</v>
      </c>
      <c r="Q66">
        <f>SUM(L66:P66)</f>
        <v>11</v>
      </c>
      <c r="S66" s="1" t="s">
        <v>227</v>
      </c>
    </row>
    <row r="67" spans="1:19" ht="86.4" hidden="1" x14ac:dyDescent="0.25">
      <c r="A67" t="s">
        <v>98</v>
      </c>
      <c r="C67" s="3" t="s">
        <v>151</v>
      </c>
      <c r="D67">
        <v>2021</v>
      </c>
      <c r="E67">
        <v>4032</v>
      </c>
      <c r="H67" t="s">
        <v>30</v>
      </c>
      <c r="I67" s="1" t="s">
        <v>222</v>
      </c>
      <c r="J67" s="1" t="s">
        <v>230</v>
      </c>
      <c r="L67">
        <v>2</v>
      </c>
      <c r="M67">
        <v>3</v>
      </c>
      <c r="N67">
        <v>4</v>
      </c>
      <c r="O67">
        <v>1</v>
      </c>
      <c r="P67">
        <v>1</v>
      </c>
      <c r="Q67">
        <f>SUM(L67:P67)</f>
        <v>11</v>
      </c>
      <c r="S67" s="1" t="s">
        <v>231</v>
      </c>
    </row>
    <row r="68" spans="1:19" ht="100.8" hidden="1" x14ac:dyDescent="0.25">
      <c r="A68" t="s">
        <v>98</v>
      </c>
      <c r="C68" s="3" t="s">
        <v>157</v>
      </c>
      <c r="D68">
        <v>2023</v>
      </c>
      <c r="E68">
        <v>1381</v>
      </c>
      <c r="H68" t="s">
        <v>30</v>
      </c>
      <c r="I68" s="1" t="s">
        <v>243</v>
      </c>
      <c r="J68" s="1" t="s">
        <v>242</v>
      </c>
      <c r="L68">
        <v>1</v>
      </c>
      <c r="M68">
        <v>3</v>
      </c>
      <c r="N68">
        <v>3</v>
      </c>
      <c r="O68">
        <v>3</v>
      </c>
      <c r="P68">
        <v>1</v>
      </c>
      <c r="Q68">
        <f>SUM(L68:P68)</f>
        <v>11</v>
      </c>
      <c r="S68" s="1" t="s">
        <v>244</v>
      </c>
    </row>
    <row r="69" spans="1:19" ht="100.8" hidden="1" x14ac:dyDescent="0.25">
      <c r="A69" t="s">
        <v>98</v>
      </c>
      <c r="C69" s="3" t="s">
        <v>159</v>
      </c>
      <c r="D69">
        <v>2019</v>
      </c>
      <c r="E69">
        <v>524</v>
      </c>
      <c r="H69" t="s">
        <v>30</v>
      </c>
      <c r="I69" s="1" t="s">
        <v>200</v>
      </c>
      <c r="J69" s="1" t="s">
        <v>248</v>
      </c>
      <c r="K69" s="1" t="s">
        <v>249</v>
      </c>
      <c r="L69">
        <v>3</v>
      </c>
      <c r="M69">
        <v>3</v>
      </c>
      <c r="N69">
        <v>3</v>
      </c>
      <c r="O69">
        <v>1</v>
      </c>
      <c r="P69">
        <v>1</v>
      </c>
      <c r="Q69">
        <f>SUM(L69:P69)</f>
        <v>11</v>
      </c>
    </row>
    <row r="70" spans="1:19" ht="100.8" hidden="1" x14ac:dyDescent="0.25">
      <c r="A70" t="s">
        <v>98</v>
      </c>
      <c r="C70" s="3" t="s">
        <v>167</v>
      </c>
      <c r="D70">
        <v>2019</v>
      </c>
      <c r="E70">
        <v>2514</v>
      </c>
      <c r="H70" t="s">
        <v>30</v>
      </c>
      <c r="I70" s="1" t="s">
        <v>222</v>
      </c>
      <c r="J70" s="1" t="s">
        <v>268</v>
      </c>
      <c r="K70" s="1" t="s">
        <v>269</v>
      </c>
      <c r="L70">
        <v>1</v>
      </c>
      <c r="M70">
        <v>4</v>
      </c>
      <c r="N70">
        <v>4</v>
      </c>
      <c r="O70">
        <v>1</v>
      </c>
      <c r="P70">
        <v>1</v>
      </c>
      <c r="Q70">
        <f>SUM(L70:P70)</f>
        <v>11</v>
      </c>
    </row>
    <row r="71" spans="1:19" ht="86.4" hidden="1" x14ac:dyDescent="0.25">
      <c r="A71" t="s">
        <v>98</v>
      </c>
      <c r="C71" s="3" t="s">
        <v>177</v>
      </c>
      <c r="D71">
        <v>2016</v>
      </c>
      <c r="E71">
        <v>928</v>
      </c>
      <c r="H71" t="s">
        <v>30</v>
      </c>
      <c r="I71" s="1" t="s">
        <v>200</v>
      </c>
      <c r="J71" s="1" t="s">
        <v>294</v>
      </c>
      <c r="K71" s="1" t="s">
        <v>295</v>
      </c>
      <c r="L71">
        <v>3</v>
      </c>
      <c r="M71">
        <v>3</v>
      </c>
      <c r="N71">
        <v>3</v>
      </c>
      <c r="O71">
        <v>1</v>
      </c>
      <c r="P71">
        <v>1</v>
      </c>
      <c r="Q71">
        <f>SUM(L71:P71)</f>
        <v>11</v>
      </c>
      <c r="S71" s="1" t="s">
        <v>293</v>
      </c>
    </row>
    <row r="72" spans="1:19" ht="100.8" hidden="1" x14ac:dyDescent="0.25">
      <c r="A72" t="s">
        <v>98</v>
      </c>
      <c r="C72" s="3" t="s">
        <v>179</v>
      </c>
      <c r="D72">
        <v>2019</v>
      </c>
      <c r="E72">
        <v>1820</v>
      </c>
      <c r="H72" t="s">
        <v>30</v>
      </c>
      <c r="I72" s="1" t="s">
        <v>200</v>
      </c>
      <c r="J72" s="1" t="s">
        <v>297</v>
      </c>
      <c r="K72" s="1" t="s">
        <v>298</v>
      </c>
      <c r="L72">
        <v>3</v>
      </c>
      <c r="M72">
        <v>3</v>
      </c>
      <c r="N72">
        <v>3</v>
      </c>
      <c r="O72">
        <v>1</v>
      </c>
      <c r="P72">
        <v>1</v>
      </c>
      <c r="Q72">
        <f>SUM(L72:P72)</f>
        <v>11</v>
      </c>
    </row>
    <row r="73" spans="1:19" ht="86.4" hidden="1" x14ac:dyDescent="0.25">
      <c r="A73" t="s">
        <v>98</v>
      </c>
      <c r="C73" s="3" t="s">
        <v>180</v>
      </c>
      <c r="D73">
        <v>2017</v>
      </c>
      <c r="E73">
        <v>4162</v>
      </c>
      <c r="H73" t="s">
        <v>30</v>
      </c>
      <c r="I73" s="1" t="s">
        <v>200</v>
      </c>
      <c r="J73" s="1" t="s">
        <v>299</v>
      </c>
      <c r="K73" s="1" t="s">
        <v>298</v>
      </c>
      <c r="L73">
        <v>3</v>
      </c>
      <c r="M73">
        <v>3</v>
      </c>
      <c r="N73">
        <v>3</v>
      </c>
      <c r="O73">
        <v>1</v>
      </c>
      <c r="P73">
        <v>1</v>
      </c>
      <c r="Q73">
        <f>SUM(L73:P73)</f>
        <v>11</v>
      </c>
    </row>
    <row r="74" spans="1:19" ht="144" hidden="1" x14ac:dyDescent="0.25">
      <c r="A74" t="s">
        <v>98</v>
      </c>
      <c r="C74" s="3" t="s">
        <v>139</v>
      </c>
      <c r="D74">
        <v>2018</v>
      </c>
      <c r="E74">
        <v>151</v>
      </c>
      <c r="H74" t="s">
        <v>17</v>
      </c>
      <c r="I74" s="1" t="s">
        <v>195</v>
      </c>
      <c r="J74" s="1" t="s">
        <v>196</v>
      </c>
      <c r="K74" s="1" t="s">
        <v>197</v>
      </c>
      <c r="L74">
        <v>2</v>
      </c>
      <c r="M74">
        <v>2</v>
      </c>
      <c r="N74">
        <v>2</v>
      </c>
      <c r="O74">
        <v>1</v>
      </c>
      <c r="P74">
        <v>3</v>
      </c>
      <c r="Q74">
        <f>SUM(L74:P74)</f>
        <v>10</v>
      </c>
    </row>
    <row r="75" spans="1:19" ht="86.4" hidden="1" x14ac:dyDescent="0.25">
      <c r="A75" t="s">
        <v>98</v>
      </c>
      <c r="C75" s="3" t="s">
        <v>156</v>
      </c>
      <c r="D75">
        <v>2022</v>
      </c>
      <c r="E75">
        <v>34</v>
      </c>
      <c r="H75" t="s">
        <v>30</v>
      </c>
      <c r="I75" s="1" t="s">
        <v>66</v>
      </c>
      <c r="J75" s="1" t="s">
        <v>240</v>
      </c>
      <c r="K75" s="1" t="s">
        <v>241</v>
      </c>
      <c r="L75">
        <v>2</v>
      </c>
      <c r="M75">
        <v>3</v>
      </c>
      <c r="N75">
        <v>2</v>
      </c>
      <c r="O75">
        <v>2</v>
      </c>
      <c r="P75">
        <v>1</v>
      </c>
      <c r="Q75">
        <f>SUM(L75:P75)</f>
        <v>10</v>
      </c>
    </row>
    <row r="76" spans="1:19" ht="115.2" hidden="1" x14ac:dyDescent="0.25">
      <c r="A76" t="s">
        <v>98</v>
      </c>
      <c r="C76" s="3" t="s">
        <v>158</v>
      </c>
      <c r="D76">
        <v>2022</v>
      </c>
      <c r="E76">
        <v>879</v>
      </c>
      <c r="H76" t="s">
        <v>30</v>
      </c>
      <c r="I76" s="1" t="s">
        <v>243</v>
      </c>
      <c r="J76" s="1" t="s">
        <v>245</v>
      </c>
      <c r="K76" s="1" t="s">
        <v>246</v>
      </c>
      <c r="L76">
        <v>1</v>
      </c>
      <c r="M76">
        <v>3</v>
      </c>
      <c r="N76">
        <v>3</v>
      </c>
      <c r="O76">
        <v>2</v>
      </c>
      <c r="P76">
        <v>1</v>
      </c>
      <c r="Q76">
        <f>SUM(L76:P76)</f>
        <v>10</v>
      </c>
      <c r="S76" s="1" t="s">
        <v>247</v>
      </c>
    </row>
    <row r="77" spans="1:19" ht="115.2" hidden="1" x14ac:dyDescent="0.25">
      <c r="A77" t="s">
        <v>98</v>
      </c>
      <c r="C77" s="3" t="s">
        <v>171</v>
      </c>
      <c r="D77">
        <v>2020</v>
      </c>
      <c r="E77">
        <v>452</v>
      </c>
      <c r="H77" t="s">
        <v>30</v>
      </c>
      <c r="I77" s="1" t="s">
        <v>258</v>
      </c>
      <c r="J77" s="1" t="s">
        <v>279</v>
      </c>
      <c r="K77" s="1" t="s">
        <v>280</v>
      </c>
      <c r="L77">
        <v>2</v>
      </c>
      <c r="M77">
        <v>3</v>
      </c>
      <c r="N77">
        <v>3</v>
      </c>
      <c r="O77">
        <v>1</v>
      </c>
      <c r="P77">
        <v>1</v>
      </c>
      <c r="Q77">
        <f>SUM(L77:P77)</f>
        <v>10</v>
      </c>
    </row>
    <row r="78" spans="1:19" ht="115.2" hidden="1" x14ac:dyDescent="0.25">
      <c r="A78" t="s">
        <v>98</v>
      </c>
      <c r="C78" s="3" t="s">
        <v>178</v>
      </c>
      <c r="D78">
        <v>2019</v>
      </c>
      <c r="E78">
        <v>5512</v>
      </c>
      <c r="H78" t="s">
        <v>30</v>
      </c>
      <c r="I78" s="1" t="s">
        <v>222</v>
      </c>
      <c r="J78" s="1" t="s">
        <v>296</v>
      </c>
      <c r="K78" s="1" t="s">
        <v>220</v>
      </c>
      <c r="L78">
        <v>2</v>
      </c>
      <c r="M78">
        <v>3</v>
      </c>
      <c r="N78">
        <v>3</v>
      </c>
      <c r="O78">
        <v>1</v>
      </c>
      <c r="P78">
        <v>1</v>
      </c>
      <c r="Q78">
        <f>SUM(L78:P78)</f>
        <v>10</v>
      </c>
    </row>
    <row r="79" spans="1:19" ht="115.2" hidden="1" x14ac:dyDescent="0.25">
      <c r="A79" t="s">
        <v>98</v>
      </c>
      <c r="C79" s="3" t="s">
        <v>183</v>
      </c>
      <c r="D79">
        <v>2023</v>
      </c>
      <c r="E79">
        <v>325</v>
      </c>
      <c r="H79" t="s">
        <v>30</v>
      </c>
      <c r="I79" s="1" t="s">
        <v>306</v>
      </c>
      <c r="J79" s="1" t="s">
        <v>307</v>
      </c>
      <c r="K79" s="1" t="s">
        <v>308</v>
      </c>
      <c r="L79">
        <v>1</v>
      </c>
      <c r="M79">
        <v>3</v>
      </c>
      <c r="N79">
        <v>2</v>
      </c>
      <c r="O79">
        <v>3</v>
      </c>
      <c r="P79">
        <v>1</v>
      </c>
      <c r="Q79">
        <f>SUM(L79:P79)</f>
        <v>10</v>
      </c>
    </row>
    <row r="80" spans="1:19" ht="72" hidden="1" x14ac:dyDescent="0.25">
      <c r="A80" t="s">
        <v>98</v>
      </c>
      <c r="C80" s="3" t="s">
        <v>175</v>
      </c>
      <c r="D80">
        <v>2019</v>
      </c>
      <c r="E80">
        <v>412</v>
      </c>
      <c r="H80" t="s">
        <v>30</v>
      </c>
      <c r="I80" s="1" t="s">
        <v>289</v>
      </c>
      <c r="J80" s="1" t="s">
        <v>288</v>
      </c>
      <c r="L80">
        <v>1</v>
      </c>
      <c r="M80">
        <v>3</v>
      </c>
      <c r="N80">
        <v>3</v>
      </c>
      <c r="O80">
        <v>1</v>
      </c>
      <c r="P80">
        <v>1</v>
      </c>
      <c r="Q80">
        <f>SUM(L80:P80)</f>
        <v>9</v>
      </c>
    </row>
    <row r="81" spans="1:19" ht="86.4" hidden="1" x14ac:dyDescent="0.25">
      <c r="A81" t="s">
        <v>99</v>
      </c>
      <c r="B81">
        <v>37</v>
      </c>
      <c r="C81" s="3" t="s">
        <v>185</v>
      </c>
      <c r="E81">
        <v>380</v>
      </c>
      <c r="I81"/>
      <c r="J81" s="1" t="s">
        <v>312</v>
      </c>
      <c r="Q81">
        <f>SUM(L81:P81)</f>
        <v>0</v>
      </c>
      <c r="R81" t="s">
        <v>351</v>
      </c>
    </row>
    <row r="82" spans="1:19" ht="86.4" hidden="1" x14ac:dyDescent="0.25">
      <c r="A82" t="s">
        <v>99</v>
      </c>
      <c r="B82">
        <v>38</v>
      </c>
      <c r="C82" s="3" t="s">
        <v>186</v>
      </c>
      <c r="E82">
        <v>1204</v>
      </c>
      <c r="I82"/>
      <c r="Q82">
        <f>SUM(L82:P82)</f>
        <v>0</v>
      </c>
      <c r="R82" t="s">
        <v>351</v>
      </c>
    </row>
    <row r="83" spans="1:19" ht="115.2" hidden="1" x14ac:dyDescent="0.25">
      <c r="A83" t="s">
        <v>99</v>
      </c>
      <c r="B83">
        <v>39</v>
      </c>
      <c r="C83" s="3" t="s">
        <v>187</v>
      </c>
      <c r="E83">
        <v>18</v>
      </c>
      <c r="I83"/>
      <c r="Q83">
        <f>SUM(L83:P83)</f>
        <v>0</v>
      </c>
      <c r="R83" t="s">
        <v>351</v>
      </c>
    </row>
    <row r="84" spans="1:19" ht="86.4" hidden="1" x14ac:dyDescent="0.25">
      <c r="A84" t="s">
        <v>99</v>
      </c>
      <c r="B84">
        <v>40</v>
      </c>
      <c r="C84" s="3" t="s">
        <v>188</v>
      </c>
      <c r="E84">
        <v>50</v>
      </c>
      <c r="I84"/>
      <c r="Q84">
        <f>SUM(L84:P84)</f>
        <v>0</v>
      </c>
      <c r="R84" t="s">
        <v>351</v>
      </c>
    </row>
    <row r="85" spans="1:19" ht="158.4" hidden="1" x14ac:dyDescent="0.25">
      <c r="A85" t="s">
        <v>99</v>
      </c>
      <c r="B85">
        <v>41</v>
      </c>
      <c r="C85" s="3" t="s">
        <v>189</v>
      </c>
      <c r="E85">
        <v>453</v>
      </c>
      <c r="I85"/>
      <c r="Q85">
        <f>SUM(L85:P85)</f>
        <v>0</v>
      </c>
      <c r="R85" t="s">
        <v>351</v>
      </c>
    </row>
    <row r="86" spans="1:19" ht="86.4" hidden="1" x14ac:dyDescent="0.25">
      <c r="A86" t="s">
        <v>99</v>
      </c>
      <c r="B86">
        <v>42</v>
      </c>
      <c r="C86" s="3" t="s">
        <v>190</v>
      </c>
      <c r="E86">
        <v>116</v>
      </c>
      <c r="I86"/>
      <c r="Q86">
        <f>SUM(L86:P86)</f>
        <v>0</v>
      </c>
      <c r="R86" t="s">
        <v>351</v>
      </c>
    </row>
    <row r="87" spans="1:19" ht="72" hidden="1" x14ac:dyDescent="0.25">
      <c r="A87" t="s">
        <v>99</v>
      </c>
      <c r="B87">
        <v>43</v>
      </c>
      <c r="C87" s="3" t="s">
        <v>191</v>
      </c>
      <c r="E87">
        <v>23</v>
      </c>
      <c r="I87"/>
      <c r="Q87">
        <f>SUM(L87:P87)</f>
        <v>0</v>
      </c>
      <c r="R87" t="s">
        <v>351</v>
      </c>
    </row>
    <row r="88" spans="1:19" ht="72" hidden="1" x14ac:dyDescent="0.25">
      <c r="A88" t="s">
        <v>99</v>
      </c>
      <c r="B88">
        <v>44</v>
      </c>
      <c r="C88" s="3" t="s">
        <v>192</v>
      </c>
      <c r="E88">
        <v>3289</v>
      </c>
      <c r="I88"/>
      <c r="Q88">
        <f>SUM(L88:P88)</f>
        <v>0</v>
      </c>
      <c r="R88" t="s">
        <v>351</v>
      </c>
    </row>
    <row r="89" spans="1:19" ht="115.2" hidden="1" x14ac:dyDescent="0.25">
      <c r="A89" t="s">
        <v>18</v>
      </c>
      <c r="C89" s="3" t="s">
        <v>313</v>
      </c>
      <c r="D89">
        <v>2024</v>
      </c>
      <c r="E89">
        <v>41</v>
      </c>
      <c r="H89" t="s">
        <v>325</v>
      </c>
      <c r="I89" s="1" t="s">
        <v>66</v>
      </c>
      <c r="J89" s="1" t="s">
        <v>326</v>
      </c>
      <c r="K89" s="1" t="s">
        <v>327</v>
      </c>
      <c r="L89">
        <v>4</v>
      </c>
      <c r="M89">
        <v>3</v>
      </c>
      <c r="N89">
        <v>2</v>
      </c>
      <c r="O89">
        <v>4</v>
      </c>
      <c r="P89">
        <v>5</v>
      </c>
      <c r="Q89">
        <f>SUM(L89:P89)</f>
        <v>18</v>
      </c>
      <c r="S89" s="1" t="s">
        <v>330</v>
      </c>
    </row>
    <row r="90" spans="1:19" ht="100.8" hidden="1" x14ac:dyDescent="0.25">
      <c r="A90" t="s">
        <v>98</v>
      </c>
      <c r="C90" s="3" t="s">
        <v>176</v>
      </c>
      <c r="D90">
        <v>2018</v>
      </c>
      <c r="E90">
        <v>540</v>
      </c>
      <c r="H90" t="s">
        <v>30</v>
      </c>
      <c r="I90" s="1" t="s">
        <v>258</v>
      </c>
      <c r="J90" s="1" t="s">
        <v>290</v>
      </c>
      <c r="K90" s="1" t="s">
        <v>292</v>
      </c>
      <c r="L90">
        <v>1</v>
      </c>
      <c r="M90">
        <v>3</v>
      </c>
      <c r="N90">
        <v>3</v>
      </c>
      <c r="O90">
        <v>1</v>
      </c>
      <c r="P90">
        <v>1</v>
      </c>
      <c r="Q90">
        <f>SUM(L90:P90)</f>
        <v>9</v>
      </c>
      <c r="S90" s="1" t="s">
        <v>291</v>
      </c>
    </row>
    <row r="91" spans="1:19" ht="86.4" hidden="1" x14ac:dyDescent="0.25">
      <c r="A91" t="s">
        <v>98</v>
      </c>
      <c r="C91" s="3" t="s">
        <v>314</v>
      </c>
      <c r="D91">
        <v>2019</v>
      </c>
      <c r="E91">
        <v>383</v>
      </c>
      <c r="H91" t="s">
        <v>324</v>
      </c>
      <c r="I91" s="1" t="s">
        <v>66</v>
      </c>
      <c r="J91" s="1" t="s">
        <v>328</v>
      </c>
      <c r="K91" s="1" t="s">
        <v>329</v>
      </c>
      <c r="L91">
        <v>1</v>
      </c>
      <c r="M91">
        <v>3</v>
      </c>
      <c r="N91">
        <v>3</v>
      </c>
      <c r="O91">
        <v>1</v>
      </c>
      <c r="P91">
        <v>1</v>
      </c>
      <c r="Q91">
        <f>SUM(L91:P91)</f>
        <v>9</v>
      </c>
      <c r="S91" s="1" t="s">
        <v>331</v>
      </c>
    </row>
    <row r="92" spans="1:19" ht="100.8" hidden="1" x14ac:dyDescent="0.25">
      <c r="A92" t="s">
        <v>98</v>
      </c>
      <c r="C92" s="3" t="s">
        <v>172</v>
      </c>
      <c r="D92">
        <v>2020</v>
      </c>
      <c r="E92">
        <v>155</v>
      </c>
      <c r="H92" t="s">
        <v>30</v>
      </c>
      <c r="I92" s="1" t="s">
        <v>281</v>
      </c>
      <c r="J92" s="1" t="s">
        <v>283</v>
      </c>
      <c r="L92">
        <v>2</v>
      </c>
      <c r="M92">
        <v>2</v>
      </c>
      <c r="N92">
        <v>2</v>
      </c>
      <c r="O92">
        <v>1</v>
      </c>
      <c r="P92">
        <v>1</v>
      </c>
      <c r="Q92">
        <f>SUM(L92:P92)</f>
        <v>8</v>
      </c>
      <c r="S92" s="1" t="s">
        <v>282</v>
      </c>
    </row>
    <row r="93" spans="1:19" ht="86.4" hidden="1" x14ac:dyDescent="0.25">
      <c r="A93" t="s">
        <v>98</v>
      </c>
      <c r="C93" s="3" t="s">
        <v>164</v>
      </c>
      <c r="D93">
        <v>2018</v>
      </c>
      <c r="E93">
        <v>89</v>
      </c>
      <c r="H93" t="s">
        <v>30</v>
      </c>
      <c r="I93" s="1" t="s">
        <v>222</v>
      </c>
      <c r="J93" s="1" t="s">
        <v>260</v>
      </c>
      <c r="K93" s="1" t="s">
        <v>262</v>
      </c>
      <c r="L93">
        <v>1</v>
      </c>
      <c r="M93">
        <v>2</v>
      </c>
      <c r="N93">
        <v>2</v>
      </c>
      <c r="O93">
        <v>1</v>
      </c>
      <c r="P93">
        <v>1</v>
      </c>
      <c r="Q93">
        <f>SUM(L93:P93)</f>
        <v>7</v>
      </c>
      <c r="S93" s="1" t="s">
        <v>261</v>
      </c>
    </row>
    <row r="94" spans="1:19" ht="86.4" hidden="1" x14ac:dyDescent="0.25">
      <c r="A94" t="s">
        <v>341</v>
      </c>
      <c r="C94" s="3" t="s">
        <v>318</v>
      </c>
      <c r="D94">
        <v>2025</v>
      </c>
      <c r="E94">
        <v>84</v>
      </c>
      <c r="H94" t="s">
        <v>30</v>
      </c>
      <c r="I94" s="1" t="s">
        <v>340</v>
      </c>
      <c r="J94" s="1" t="s">
        <v>339</v>
      </c>
      <c r="K94" s="1" t="s">
        <v>342</v>
      </c>
      <c r="L94">
        <v>2</v>
      </c>
      <c r="M94">
        <v>3</v>
      </c>
      <c r="N94">
        <v>3</v>
      </c>
      <c r="O94">
        <v>5</v>
      </c>
      <c r="P94">
        <v>1</v>
      </c>
      <c r="Q94">
        <f t="shared" ref="Q87:Q99" si="1">SUM(L94:P94)</f>
        <v>14</v>
      </c>
    </row>
    <row r="95" spans="1:19" ht="72" hidden="1" x14ac:dyDescent="0.25">
      <c r="A95" t="s">
        <v>18</v>
      </c>
      <c r="C95" s="3" t="s">
        <v>319</v>
      </c>
      <c r="D95">
        <v>2020</v>
      </c>
      <c r="E95">
        <v>23</v>
      </c>
      <c r="H95" t="s">
        <v>17</v>
      </c>
      <c r="I95" s="1" t="s">
        <v>341</v>
      </c>
      <c r="J95" s="1" t="s">
        <v>344</v>
      </c>
      <c r="K95" s="1" t="s">
        <v>343</v>
      </c>
      <c r="L95">
        <v>5</v>
      </c>
      <c r="M95">
        <v>3</v>
      </c>
      <c r="N95">
        <v>3</v>
      </c>
      <c r="O95">
        <v>1</v>
      </c>
      <c r="P95">
        <v>5</v>
      </c>
      <c r="Q95">
        <f t="shared" si="1"/>
        <v>17</v>
      </c>
    </row>
    <row r="96" spans="1:19" ht="72" hidden="1" x14ac:dyDescent="0.25">
      <c r="A96" t="s">
        <v>341</v>
      </c>
      <c r="C96" s="3" t="s">
        <v>320</v>
      </c>
      <c r="D96">
        <v>2024</v>
      </c>
      <c r="E96">
        <v>20</v>
      </c>
      <c r="H96" t="s">
        <v>17</v>
      </c>
      <c r="I96" s="1" t="s">
        <v>103</v>
      </c>
      <c r="J96" s="1" t="s">
        <v>345</v>
      </c>
      <c r="K96" s="1" t="s">
        <v>347</v>
      </c>
      <c r="L96">
        <v>2</v>
      </c>
      <c r="M96">
        <v>3</v>
      </c>
      <c r="N96">
        <v>3</v>
      </c>
      <c r="O96">
        <v>4</v>
      </c>
      <c r="P96">
        <v>5</v>
      </c>
      <c r="Q96">
        <f t="shared" si="1"/>
        <v>17</v>
      </c>
      <c r="S96" s="1" t="s">
        <v>346</v>
      </c>
    </row>
    <row r="97" spans="1:17" ht="129.6" hidden="1" x14ac:dyDescent="0.25">
      <c r="A97" t="s">
        <v>341</v>
      </c>
      <c r="C97" s="3" t="s">
        <v>321</v>
      </c>
      <c r="D97">
        <v>2023</v>
      </c>
      <c r="E97">
        <v>67</v>
      </c>
      <c r="H97" t="s">
        <v>30</v>
      </c>
      <c r="I97" s="1" t="s">
        <v>258</v>
      </c>
      <c r="L97">
        <v>2</v>
      </c>
      <c r="M97">
        <v>3</v>
      </c>
      <c r="N97">
        <v>3</v>
      </c>
      <c r="O97">
        <v>3</v>
      </c>
      <c r="P97">
        <v>1</v>
      </c>
      <c r="Q97">
        <f t="shared" si="1"/>
        <v>12</v>
      </c>
    </row>
    <row r="98" spans="1:17" ht="86.4" hidden="1" x14ac:dyDescent="0.25">
      <c r="A98" t="s">
        <v>18</v>
      </c>
      <c r="C98" s="3" t="s">
        <v>322</v>
      </c>
      <c r="D98">
        <v>2025</v>
      </c>
      <c r="E98">
        <v>35</v>
      </c>
      <c r="H98" t="s">
        <v>17</v>
      </c>
      <c r="I98" s="1" t="s">
        <v>258</v>
      </c>
      <c r="J98" s="1" t="s">
        <v>348</v>
      </c>
      <c r="L98">
        <v>3</v>
      </c>
      <c r="M98">
        <v>4</v>
      </c>
      <c r="N98">
        <v>3</v>
      </c>
      <c r="O98">
        <v>5</v>
      </c>
      <c r="P98">
        <v>5</v>
      </c>
      <c r="Q98">
        <f t="shared" si="1"/>
        <v>20</v>
      </c>
    </row>
    <row r="99" spans="1:17" ht="129.6" hidden="1" x14ac:dyDescent="0.25">
      <c r="A99" t="s">
        <v>341</v>
      </c>
      <c r="C99" s="3" t="s">
        <v>323</v>
      </c>
      <c r="D99">
        <v>2021</v>
      </c>
      <c r="E99">
        <v>26</v>
      </c>
      <c r="H99" t="s">
        <v>349</v>
      </c>
      <c r="I99" s="1" t="s">
        <v>340</v>
      </c>
      <c r="J99" s="1" t="s">
        <v>350</v>
      </c>
      <c r="L99">
        <v>1</v>
      </c>
      <c r="M99">
        <v>3</v>
      </c>
      <c r="N99">
        <v>3</v>
      </c>
      <c r="O99">
        <v>1</v>
      </c>
      <c r="P99">
        <v>1</v>
      </c>
      <c r="Q99">
        <f t="shared" si="1"/>
        <v>9</v>
      </c>
    </row>
  </sheetData>
  <autoFilter ref="A1:S99" xr:uid="{00000000-0001-0000-0000-000000000000}">
    <filterColumn colId="0">
      <filters>
        <filter val="VQA"/>
      </filters>
    </filterColumn>
    <filterColumn colId="17">
      <customFilters>
        <customFilter operator="notEqual" val=" "/>
      </customFilters>
    </filterColumn>
    <sortState xmlns:xlrd2="http://schemas.microsoft.com/office/spreadsheetml/2017/richdata2" ref="A2:S14">
      <sortCondition ref="D2:D99"/>
    </sortState>
  </autoFilter>
  <sortState xmlns:xlrd2="http://schemas.microsoft.com/office/spreadsheetml/2017/richdata2" ref="A34:S93">
    <sortCondition descending="1" ref="Q2:Q99"/>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F80BE-0DA4-44B6-8D40-C8D0EF1A7933}">
  <dimension ref="A1:E46"/>
  <sheetViews>
    <sheetView tabSelected="1" workbookViewId="0">
      <pane xSplit="2" ySplit="1" topLeftCell="C15" activePane="bottomRight" state="frozen"/>
      <selection pane="topRight" activeCell="C1" sqref="C1"/>
      <selection pane="bottomLeft" activeCell="A2" sqref="A2"/>
      <selection pane="bottomRight" activeCell="B8" sqref="B8"/>
    </sheetView>
  </sheetViews>
  <sheetFormatPr defaultRowHeight="14.4" x14ac:dyDescent="0.25"/>
  <cols>
    <col min="1" max="1" width="9.77734375" style="1" customWidth="1"/>
    <col min="2" max="2" width="40.21875" style="1" customWidth="1"/>
    <col min="3" max="3" width="42.5546875" style="1" customWidth="1"/>
    <col min="4" max="4" width="43.88671875" style="1" customWidth="1"/>
    <col min="5" max="5" width="56" style="1" customWidth="1"/>
    <col min="6" max="16384" width="8.88671875" style="1"/>
  </cols>
  <sheetData>
    <row r="1" spans="1:5" s="7" customFormat="1" ht="30" customHeight="1" x14ac:dyDescent="0.25">
      <c r="A1" s="5" t="s">
        <v>353</v>
      </c>
      <c r="B1" s="6" t="s">
        <v>354</v>
      </c>
      <c r="C1" s="6" t="s">
        <v>355</v>
      </c>
      <c r="D1" s="6" t="s">
        <v>356</v>
      </c>
      <c r="E1" s="6" t="s">
        <v>357</v>
      </c>
    </row>
    <row r="2" spans="1:5" ht="115.2" x14ac:dyDescent="0.25">
      <c r="A2" s="1">
        <v>1</v>
      </c>
      <c r="B2" s="3" t="s">
        <v>63</v>
      </c>
      <c r="C2" s="3" t="s">
        <v>358</v>
      </c>
      <c r="D2" s="3" t="s">
        <v>359</v>
      </c>
      <c r="E2" s="3" t="s">
        <v>360</v>
      </c>
    </row>
    <row r="3" spans="1:5" ht="129.6" x14ac:dyDescent="0.25">
      <c r="A3" s="1">
        <v>2</v>
      </c>
      <c r="B3" s="3" t="s">
        <v>34</v>
      </c>
      <c r="C3" s="3" t="s">
        <v>361</v>
      </c>
      <c r="D3" s="3" t="s">
        <v>362</v>
      </c>
      <c r="E3" s="3" t="s">
        <v>363</v>
      </c>
    </row>
    <row r="4" spans="1:5" ht="129.6" x14ac:dyDescent="0.25">
      <c r="A4" s="1">
        <v>3</v>
      </c>
      <c r="B4" s="3" t="s">
        <v>54</v>
      </c>
      <c r="C4" s="3" t="s">
        <v>365</v>
      </c>
      <c r="D4" s="3" t="s">
        <v>364</v>
      </c>
      <c r="E4" s="3" t="s">
        <v>366</v>
      </c>
    </row>
    <row r="5" spans="1:5" ht="86.4" x14ac:dyDescent="0.25">
      <c r="A5" s="1">
        <v>4</v>
      </c>
      <c r="B5" s="3" t="s">
        <v>49</v>
      </c>
      <c r="C5" s="3" t="s">
        <v>367</v>
      </c>
      <c r="D5" s="3" t="s">
        <v>368</v>
      </c>
      <c r="E5" s="3" t="s">
        <v>369</v>
      </c>
    </row>
    <row r="6" spans="1:5" ht="129.6" x14ac:dyDescent="0.25">
      <c r="A6" s="1">
        <v>5</v>
      </c>
      <c r="B6" s="3" t="s">
        <v>46</v>
      </c>
      <c r="C6" s="3" t="s">
        <v>371</v>
      </c>
      <c r="D6" s="3" t="s">
        <v>372</v>
      </c>
      <c r="E6" s="3" t="s">
        <v>370</v>
      </c>
    </row>
    <row r="7" spans="1:5" ht="115.2" x14ac:dyDescent="0.25">
      <c r="A7" s="1">
        <v>6</v>
      </c>
      <c r="B7" s="3" t="s">
        <v>83</v>
      </c>
      <c r="C7" s="3" t="s">
        <v>373</v>
      </c>
      <c r="D7" s="3" t="s">
        <v>374</v>
      </c>
      <c r="E7" s="3" t="s">
        <v>375</v>
      </c>
    </row>
    <row r="8" spans="1:5" ht="129.6" x14ac:dyDescent="0.25">
      <c r="A8" s="1">
        <v>7</v>
      </c>
      <c r="B8" s="3" t="s">
        <v>89</v>
      </c>
      <c r="C8" s="3" t="s">
        <v>376</v>
      </c>
      <c r="D8" s="3" t="s">
        <v>378</v>
      </c>
      <c r="E8" s="3" t="s">
        <v>377</v>
      </c>
    </row>
    <row r="9" spans="1:5" ht="115.2" x14ac:dyDescent="0.25">
      <c r="A9" s="1">
        <v>8</v>
      </c>
      <c r="B9" s="3" t="s">
        <v>93</v>
      </c>
      <c r="C9" s="3" t="s">
        <v>379</v>
      </c>
      <c r="D9" s="3" t="s">
        <v>380</v>
      </c>
      <c r="E9" s="3" t="s">
        <v>381</v>
      </c>
    </row>
    <row r="10" spans="1:5" ht="129.6" x14ac:dyDescent="0.25">
      <c r="A10" s="1">
        <v>9</v>
      </c>
      <c r="B10" s="3" t="s">
        <v>39</v>
      </c>
      <c r="C10" s="3" t="s">
        <v>382</v>
      </c>
      <c r="D10" s="3" t="s">
        <v>384</v>
      </c>
      <c r="E10" s="3" t="s">
        <v>383</v>
      </c>
    </row>
    <row r="11" spans="1:5" ht="144" x14ac:dyDescent="0.25">
      <c r="A11" s="1">
        <v>10</v>
      </c>
      <c r="B11" s="3" t="s">
        <v>67</v>
      </c>
      <c r="C11" s="3" t="s">
        <v>385</v>
      </c>
      <c r="D11" s="3" t="s">
        <v>386</v>
      </c>
      <c r="E11" s="3" t="s">
        <v>387</v>
      </c>
    </row>
    <row r="12" spans="1:5" ht="115.2" x14ac:dyDescent="0.25">
      <c r="A12" s="1">
        <v>11</v>
      </c>
      <c r="B12" s="3" t="s">
        <v>70</v>
      </c>
      <c r="C12" s="3" t="s">
        <v>388</v>
      </c>
      <c r="D12" s="3" t="s">
        <v>389</v>
      </c>
      <c r="E12" s="3" t="s">
        <v>390</v>
      </c>
    </row>
    <row r="13" spans="1:5" ht="172.8" x14ac:dyDescent="0.25">
      <c r="A13" s="1">
        <v>12</v>
      </c>
      <c r="B13" s="3" t="s">
        <v>80</v>
      </c>
      <c r="C13" s="3" t="s">
        <v>391</v>
      </c>
      <c r="D13" s="3" t="s">
        <v>392</v>
      </c>
      <c r="E13" s="3" t="s">
        <v>393</v>
      </c>
    </row>
    <row r="14" spans="1:5" ht="158.4" x14ac:dyDescent="0.25">
      <c r="A14" s="1">
        <v>13</v>
      </c>
      <c r="B14" s="3" t="s">
        <v>91</v>
      </c>
      <c r="C14" s="3" t="s">
        <v>394</v>
      </c>
      <c r="D14" s="3" t="s">
        <v>395</v>
      </c>
      <c r="E14" s="3" t="s">
        <v>396</v>
      </c>
    </row>
    <row r="15" spans="1:5" ht="129.6" x14ac:dyDescent="0.25">
      <c r="A15" s="1">
        <v>14</v>
      </c>
      <c r="B15" s="3" t="s">
        <v>126</v>
      </c>
      <c r="C15" s="3" t="s">
        <v>397</v>
      </c>
      <c r="D15" s="3" t="s">
        <v>398</v>
      </c>
      <c r="E15" s="3" t="s">
        <v>399</v>
      </c>
    </row>
    <row r="16" spans="1:5" ht="115.2" x14ac:dyDescent="0.25">
      <c r="A16" s="1">
        <v>15</v>
      </c>
      <c r="B16" s="3" t="s">
        <v>121</v>
      </c>
      <c r="C16" s="3" t="s">
        <v>400</v>
      </c>
      <c r="D16" s="3" t="s">
        <v>402</v>
      </c>
      <c r="E16" s="3" t="s">
        <v>401</v>
      </c>
    </row>
    <row r="17" spans="1:5" ht="144" x14ac:dyDescent="0.25">
      <c r="A17" s="1">
        <v>16</v>
      </c>
      <c r="B17" s="3" t="s">
        <v>128</v>
      </c>
      <c r="C17" s="3" t="s">
        <v>403</v>
      </c>
      <c r="D17" s="3" t="s">
        <v>404</v>
      </c>
      <c r="E17" s="3" t="s">
        <v>405</v>
      </c>
    </row>
    <row r="18" spans="1:5" ht="129.6" x14ac:dyDescent="0.25">
      <c r="A18" s="1">
        <v>17</v>
      </c>
      <c r="B18" s="3" t="s">
        <v>125</v>
      </c>
      <c r="C18" s="3" t="s">
        <v>406</v>
      </c>
      <c r="D18" s="3" t="s">
        <v>407</v>
      </c>
      <c r="E18" s="3" t="s">
        <v>408</v>
      </c>
    </row>
    <row r="19" spans="1:5" ht="115.2" x14ac:dyDescent="0.25">
      <c r="A19" s="1">
        <v>18</v>
      </c>
      <c r="B19" s="3" t="s">
        <v>102</v>
      </c>
      <c r="C19" s="3" t="s">
        <v>409</v>
      </c>
      <c r="D19" s="3" t="s">
        <v>410</v>
      </c>
      <c r="E19" s="3" t="s">
        <v>411</v>
      </c>
    </row>
    <row r="20" spans="1:5" ht="115.2" x14ac:dyDescent="0.25">
      <c r="A20" s="1">
        <v>19</v>
      </c>
      <c r="B20" s="3" t="s">
        <v>115</v>
      </c>
      <c r="C20" s="3" t="s">
        <v>412</v>
      </c>
      <c r="D20" s="3" t="s">
        <v>413</v>
      </c>
      <c r="E20" s="3" t="s">
        <v>414</v>
      </c>
    </row>
    <row r="21" spans="1:5" ht="100.8" x14ac:dyDescent="0.25">
      <c r="A21" s="1">
        <v>20</v>
      </c>
      <c r="B21" s="3" t="s">
        <v>111</v>
      </c>
      <c r="C21" s="3" t="s">
        <v>415</v>
      </c>
      <c r="D21" s="3" t="s">
        <v>416</v>
      </c>
      <c r="E21" s="3" t="s">
        <v>417</v>
      </c>
    </row>
    <row r="22" spans="1:5" ht="129.6" x14ac:dyDescent="0.25">
      <c r="A22" s="1">
        <v>21</v>
      </c>
      <c r="B22" s="3" t="s">
        <v>127</v>
      </c>
      <c r="C22" s="3" t="s">
        <v>418</v>
      </c>
      <c r="D22" s="3" t="s">
        <v>419</v>
      </c>
      <c r="E22" s="3" t="s">
        <v>420</v>
      </c>
    </row>
    <row r="23" spans="1:5" ht="115.2" x14ac:dyDescent="0.25">
      <c r="A23" s="1">
        <v>22</v>
      </c>
      <c r="B23" s="3" t="s">
        <v>106</v>
      </c>
      <c r="C23" s="3"/>
      <c r="D23" s="3"/>
      <c r="E23" s="3"/>
    </row>
    <row r="24" spans="1:5" ht="172.8" x14ac:dyDescent="0.25">
      <c r="A24" s="1">
        <v>23</v>
      </c>
      <c r="B24" s="3" t="s">
        <v>118</v>
      </c>
      <c r="C24" s="3"/>
      <c r="D24" s="3"/>
      <c r="E24" s="3"/>
    </row>
    <row r="25" spans="1:5" ht="158.4" x14ac:dyDescent="0.25">
      <c r="A25" s="1">
        <v>24</v>
      </c>
      <c r="B25" s="3" t="s">
        <v>100</v>
      </c>
      <c r="C25" s="3"/>
      <c r="D25" s="3"/>
      <c r="E25" s="3"/>
    </row>
    <row r="26" spans="1:5" ht="115.2" x14ac:dyDescent="0.25">
      <c r="A26" s="1">
        <v>25</v>
      </c>
      <c r="B26" s="3" t="s">
        <v>140</v>
      </c>
      <c r="C26" s="3"/>
      <c r="D26" s="3"/>
      <c r="E26" s="3"/>
    </row>
    <row r="27" spans="1:5" ht="115.2" x14ac:dyDescent="0.25">
      <c r="A27" s="1">
        <v>26</v>
      </c>
      <c r="B27" s="3" t="s">
        <v>154</v>
      </c>
      <c r="C27" s="3"/>
      <c r="D27" s="3"/>
      <c r="E27" s="3"/>
    </row>
    <row r="28" spans="1:5" ht="115.2" x14ac:dyDescent="0.25">
      <c r="A28" s="1">
        <v>27</v>
      </c>
      <c r="B28" s="3" t="s">
        <v>145</v>
      </c>
      <c r="C28" s="3"/>
      <c r="D28" s="3"/>
      <c r="E28" s="3"/>
    </row>
    <row r="29" spans="1:5" ht="115.2" x14ac:dyDescent="0.25">
      <c r="A29" s="1">
        <v>28</v>
      </c>
      <c r="B29" s="3" t="s">
        <v>152</v>
      </c>
      <c r="C29" s="3"/>
      <c r="D29" s="3"/>
      <c r="E29" s="3"/>
    </row>
    <row r="30" spans="1:5" ht="172.8" x14ac:dyDescent="0.25">
      <c r="A30" s="1">
        <v>29</v>
      </c>
      <c r="B30" s="3" t="s">
        <v>182</v>
      </c>
      <c r="C30" s="3"/>
      <c r="D30" s="3"/>
      <c r="E30" s="3"/>
    </row>
    <row r="31" spans="1:5" ht="100.8" x14ac:dyDescent="0.25">
      <c r="A31" s="1">
        <v>30</v>
      </c>
      <c r="B31" s="3" t="s">
        <v>142</v>
      </c>
      <c r="C31" s="3"/>
      <c r="D31" s="3"/>
      <c r="E31" s="3"/>
    </row>
    <row r="32" spans="1:5" ht="158.4" x14ac:dyDescent="0.25">
      <c r="A32" s="1">
        <v>31</v>
      </c>
      <c r="B32" s="3" t="s">
        <v>316</v>
      </c>
      <c r="C32" s="3"/>
      <c r="D32" s="3"/>
      <c r="E32" s="3"/>
    </row>
    <row r="33" spans="1:5" ht="129.6" x14ac:dyDescent="0.25">
      <c r="A33" s="1">
        <v>32</v>
      </c>
      <c r="B33" s="3" t="s">
        <v>141</v>
      </c>
      <c r="C33" s="3"/>
      <c r="D33" s="3"/>
      <c r="E33" s="3"/>
    </row>
    <row r="34" spans="1:5" ht="115.8" x14ac:dyDescent="0.25">
      <c r="A34" s="1">
        <v>33</v>
      </c>
      <c r="B34" s="3" t="s">
        <v>143</v>
      </c>
      <c r="C34" s="3"/>
      <c r="D34" s="3"/>
      <c r="E34" s="3"/>
    </row>
    <row r="35" spans="1:5" ht="100.8" x14ac:dyDescent="0.25">
      <c r="A35" s="1">
        <v>34</v>
      </c>
      <c r="B35" s="3" t="s">
        <v>315</v>
      </c>
      <c r="C35" s="3"/>
      <c r="D35" s="3"/>
      <c r="E35" s="3"/>
    </row>
    <row r="36" spans="1:5" ht="115.2" x14ac:dyDescent="0.25">
      <c r="A36" s="1">
        <v>35</v>
      </c>
      <c r="B36" s="3" t="s">
        <v>170</v>
      </c>
      <c r="C36" s="3"/>
      <c r="D36" s="3"/>
      <c r="E36" s="3"/>
    </row>
    <row r="37" spans="1:5" ht="115.2" x14ac:dyDescent="0.25">
      <c r="A37" s="1">
        <v>36</v>
      </c>
      <c r="B37" s="3" t="s">
        <v>317</v>
      </c>
      <c r="C37" s="3"/>
      <c r="D37" s="3"/>
      <c r="E37" s="3"/>
    </row>
    <row r="38" spans="1:5" ht="100.8" x14ac:dyDescent="0.25">
      <c r="A38" s="1">
        <v>37</v>
      </c>
      <c r="B38" s="3" t="s">
        <v>185</v>
      </c>
      <c r="C38" s="3"/>
      <c r="D38" s="3"/>
      <c r="E38" s="3"/>
    </row>
    <row r="39" spans="1:5" ht="115.2" x14ac:dyDescent="0.25">
      <c r="A39" s="1">
        <v>38</v>
      </c>
      <c r="B39" s="3" t="s">
        <v>186</v>
      </c>
      <c r="C39" s="3"/>
      <c r="D39" s="3"/>
      <c r="E39" s="3"/>
    </row>
    <row r="40" spans="1:5" ht="144" x14ac:dyDescent="0.25">
      <c r="A40" s="1">
        <v>39</v>
      </c>
      <c r="B40" s="3" t="s">
        <v>187</v>
      </c>
      <c r="C40" s="3"/>
      <c r="D40" s="3"/>
      <c r="E40" s="3"/>
    </row>
    <row r="41" spans="1:5" ht="115.2" x14ac:dyDescent="0.25">
      <c r="A41" s="1">
        <v>40</v>
      </c>
      <c r="B41" s="3" t="s">
        <v>188</v>
      </c>
      <c r="C41" s="3"/>
      <c r="D41" s="3"/>
      <c r="E41" s="3"/>
    </row>
    <row r="42" spans="1:5" ht="172.8" x14ac:dyDescent="0.25">
      <c r="A42" s="1">
        <v>41</v>
      </c>
      <c r="B42" s="3" t="s">
        <v>189</v>
      </c>
      <c r="C42" s="3"/>
      <c r="D42" s="3"/>
      <c r="E42" s="3"/>
    </row>
    <row r="43" spans="1:5" ht="115.2" x14ac:dyDescent="0.25">
      <c r="A43" s="1">
        <v>42</v>
      </c>
      <c r="B43" s="3" t="s">
        <v>190</v>
      </c>
      <c r="C43" s="3"/>
      <c r="D43" s="3"/>
      <c r="E43" s="3"/>
    </row>
    <row r="44" spans="1:5" ht="100.8" x14ac:dyDescent="0.25">
      <c r="A44" s="1">
        <v>43</v>
      </c>
      <c r="B44" s="3" t="s">
        <v>191</v>
      </c>
      <c r="C44" s="3"/>
      <c r="D44" s="3"/>
      <c r="E44" s="3"/>
    </row>
    <row r="45" spans="1:5" ht="100.8" x14ac:dyDescent="0.25">
      <c r="A45" s="1">
        <v>44</v>
      </c>
      <c r="B45" s="3" t="s">
        <v>192</v>
      </c>
      <c r="C45" s="3"/>
      <c r="D45" s="3"/>
      <c r="E45" s="3"/>
    </row>
    <row r="46" spans="1:5" x14ac:dyDescent="0.25">
      <c r="B46" s="3"/>
      <c r="C46" s="3"/>
      <c r="D46" s="3"/>
      <c r="E46"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edwin zhao</cp:lastModifiedBy>
  <dcterms:created xsi:type="dcterms:W3CDTF">2025-10-13T01:22:15Z</dcterms:created>
  <dcterms:modified xsi:type="dcterms:W3CDTF">2025-10-15T05:39:01Z</dcterms:modified>
</cp:coreProperties>
</file>